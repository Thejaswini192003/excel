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ff\Downloads\"/>
    </mc:Choice>
  </mc:AlternateContent>
  <bookViews>
    <workbookView xWindow="0" yWindow="0" windowWidth="20490" windowHeight="7650" activeTab="1"/>
  </bookViews>
  <sheets>
    <sheet name="input" sheetId="1" r:id="rId1"/>
    <sheet name="Dashboard" sheetId="2" r:id="rId2"/>
  </sheets>
  <definedNames>
    <definedName name="_xlnm._FilterDatabase" localSheetId="0" hidden="1">input!$A$1:$E$206</definedName>
  </definedNames>
  <calcPr calcId="162913"/>
</workbook>
</file>

<file path=xl/calcChain.xml><?xml version="1.0" encoding="utf-8"?>
<calcChain xmlns="http://schemas.openxmlformats.org/spreadsheetml/2006/main">
  <c r="N23" i="2" l="1"/>
  <c r="B205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G20" i="2" l="1"/>
  <c r="G11" i="2"/>
  <c r="C11" i="2"/>
  <c r="D21" i="2"/>
  <c r="C20" i="2"/>
  <c r="M20" i="2"/>
  <c r="J20" i="2"/>
  <c r="H20" i="2"/>
  <c r="F20" i="2"/>
  <c r="D20" i="2"/>
  <c r="C21" i="2"/>
  <c r="M21" i="2"/>
  <c r="K21" i="2"/>
  <c r="I21" i="2"/>
  <c r="G21" i="2"/>
  <c r="E21" i="2"/>
  <c r="C19" i="2"/>
  <c r="N20" i="2"/>
  <c r="K20" i="2"/>
  <c r="I20" i="2"/>
  <c r="E20" i="2"/>
  <c r="L20" i="2"/>
  <c r="N21" i="2"/>
  <c r="L21" i="2"/>
  <c r="J21" i="2"/>
  <c r="H21" i="2"/>
  <c r="F21" i="2"/>
  <c r="I16" i="2"/>
  <c r="H16" i="2"/>
  <c r="M11" i="2"/>
  <c r="N10" i="2"/>
  <c r="D8" i="2"/>
  <c r="H8" i="2"/>
  <c r="I9" i="2"/>
  <c r="J11" i="2"/>
  <c r="E16" i="2"/>
  <c r="D19" i="2"/>
  <c r="C16" i="2"/>
  <c r="N17" i="2"/>
  <c r="L17" i="2"/>
  <c r="J17" i="2"/>
  <c r="H17" i="2"/>
  <c r="F17" i="2"/>
  <c r="D17" i="2"/>
  <c r="C18" i="2"/>
  <c r="M18" i="2"/>
  <c r="K18" i="2"/>
  <c r="I18" i="2"/>
  <c r="G18" i="2"/>
  <c r="E18" i="2"/>
  <c r="M19" i="2"/>
  <c r="K19" i="2"/>
  <c r="I19" i="2"/>
  <c r="G19" i="2"/>
  <c r="E19" i="2"/>
  <c r="L8" i="2"/>
  <c r="M9" i="2"/>
  <c r="D10" i="2"/>
  <c r="I10" i="2"/>
  <c r="F11" i="2"/>
  <c r="C8" i="2"/>
  <c r="M16" i="2"/>
  <c r="L16" i="2"/>
  <c r="M17" i="2"/>
  <c r="K17" i="2"/>
  <c r="I17" i="2"/>
  <c r="G17" i="2"/>
  <c r="E17" i="2"/>
  <c r="C17" i="2"/>
  <c r="N18" i="2"/>
  <c r="L18" i="2"/>
  <c r="J18" i="2"/>
  <c r="H18" i="2"/>
  <c r="F18" i="2"/>
  <c r="D18" i="2"/>
  <c r="N19" i="2"/>
  <c r="L19" i="2"/>
  <c r="J19" i="2"/>
  <c r="H19" i="2"/>
  <c r="F19" i="2"/>
  <c r="E8" i="2"/>
  <c r="N8" i="2"/>
  <c r="J8" i="2"/>
  <c r="E9" i="2"/>
  <c r="K9" i="2"/>
  <c r="G9" i="2"/>
  <c r="F10" i="2"/>
  <c r="L10" i="2"/>
  <c r="H10" i="2"/>
  <c r="H11" i="2"/>
  <c r="D11" i="2"/>
  <c r="K11" i="2"/>
  <c r="F8" i="2"/>
  <c r="G16" i="2"/>
  <c r="K16" i="2"/>
  <c r="G8" i="2"/>
  <c r="I8" i="2"/>
  <c r="M8" i="2"/>
  <c r="K8" i="2"/>
  <c r="C9" i="2"/>
  <c r="D9" i="2"/>
  <c r="N9" i="2"/>
  <c r="L9" i="2"/>
  <c r="J9" i="2"/>
  <c r="H9" i="2"/>
  <c r="F9" i="2"/>
  <c r="G10" i="2"/>
  <c r="E10" i="2"/>
  <c r="M10" i="2"/>
  <c r="J10" i="2"/>
  <c r="C10" i="2"/>
  <c r="I11" i="2"/>
  <c r="E11" i="2"/>
  <c r="N11" i="2"/>
  <c r="L11" i="2"/>
  <c r="K10" i="2"/>
  <c r="D16" i="2"/>
  <c r="F16" i="2"/>
  <c r="N16" i="2"/>
  <c r="J16" i="2"/>
  <c r="P20" i="2" l="1"/>
  <c r="P21" i="2"/>
  <c r="J22" i="2"/>
  <c r="F22" i="2"/>
  <c r="M12" i="2"/>
  <c r="N13" i="2" s="1"/>
  <c r="G22" i="2"/>
  <c r="G23" i="2" s="1"/>
  <c r="P19" i="2"/>
  <c r="P11" i="2"/>
  <c r="P9" i="2"/>
  <c r="G12" i="2"/>
  <c r="N12" i="2"/>
  <c r="M22" i="2"/>
  <c r="L12" i="2"/>
  <c r="M13" i="2" s="1"/>
  <c r="P16" i="2"/>
  <c r="C22" i="2"/>
  <c r="E22" i="2"/>
  <c r="D12" i="2"/>
  <c r="I22" i="2"/>
  <c r="N22" i="2"/>
  <c r="D22" i="2"/>
  <c r="P10" i="2"/>
  <c r="K12" i="2"/>
  <c r="I12" i="2"/>
  <c r="K22" i="2"/>
  <c r="F12" i="2"/>
  <c r="J12" i="2"/>
  <c r="K13" i="2" s="1"/>
  <c r="E12" i="2"/>
  <c r="F13" i="2" s="1"/>
  <c r="P17" i="2"/>
  <c r="L22" i="2"/>
  <c r="P8" i="2"/>
  <c r="C12" i="2"/>
  <c r="D13" i="2" s="1"/>
  <c r="P18" i="2"/>
  <c r="H12" i="2"/>
  <c r="I13" i="2" s="1"/>
  <c r="H22" i="2"/>
  <c r="H23" i="2" s="1"/>
  <c r="K23" i="2" l="1"/>
  <c r="L23" i="2"/>
  <c r="G13" i="2"/>
  <c r="J13" i="2"/>
  <c r="E13" i="2"/>
  <c r="L13" i="2"/>
  <c r="D23" i="2"/>
  <c r="I23" i="2"/>
  <c r="E23" i="2"/>
  <c r="G25" i="2"/>
  <c r="H13" i="2"/>
  <c r="F23" i="2"/>
  <c r="C13" i="2"/>
  <c r="J23" i="2"/>
  <c r="F25" i="2"/>
  <c r="J25" i="2"/>
  <c r="M25" i="2"/>
  <c r="N26" i="2" s="1"/>
  <c r="K25" i="2"/>
  <c r="K26" i="2" s="1"/>
  <c r="H25" i="2"/>
  <c r="C25" i="2"/>
  <c r="P12" i="2"/>
  <c r="E25" i="2"/>
  <c r="I25" i="2"/>
  <c r="I26" i="2" s="1"/>
  <c r="D25" i="2"/>
  <c r="D26" i="2" s="1"/>
  <c r="P22" i="2"/>
  <c r="L25" i="2"/>
  <c r="N25" i="2"/>
  <c r="H26" i="2" l="1"/>
  <c r="F26" i="2"/>
  <c r="M26" i="2"/>
  <c r="L26" i="2"/>
  <c r="E26" i="2"/>
  <c r="C26" i="2"/>
  <c r="J26" i="2"/>
  <c r="G26" i="2"/>
  <c r="P25" i="2"/>
</calcChain>
</file>

<file path=xl/sharedStrings.xml><?xml version="1.0" encoding="utf-8"?>
<sst xmlns="http://schemas.openxmlformats.org/spreadsheetml/2006/main" count="302" uniqueCount="82">
  <si>
    <t>Date</t>
  </si>
  <si>
    <t>Month</t>
  </si>
  <si>
    <t>Category</t>
  </si>
  <si>
    <t>Description</t>
  </si>
  <si>
    <t>Amount</t>
  </si>
  <si>
    <t>September</t>
  </si>
  <si>
    <t>Utilities</t>
  </si>
  <si>
    <t>July</t>
  </si>
  <si>
    <t>Groceries</t>
  </si>
  <si>
    <t>January</t>
  </si>
  <si>
    <t>Side Hustle</t>
  </si>
  <si>
    <t>October</t>
  </si>
  <si>
    <t>Bonus</t>
  </si>
  <si>
    <t>December</t>
  </si>
  <si>
    <t>Rent</t>
  </si>
  <si>
    <t>Leisure</t>
  </si>
  <si>
    <t>April</t>
  </si>
  <si>
    <t>Other</t>
  </si>
  <si>
    <t>February</t>
  </si>
  <si>
    <t>Investments</t>
  </si>
  <si>
    <t>August</t>
  </si>
  <si>
    <t>Transport</t>
  </si>
  <si>
    <t>June</t>
  </si>
  <si>
    <t>Base Salary</t>
  </si>
  <si>
    <t>May</t>
  </si>
  <si>
    <t>March</t>
  </si>
  <si>
    <t>November</t>
  </si>
  <si>
    <t>Metro card</t>
  </si>
  <si>
    <t>Figures in USD</t>
  </si>
  <si>
    <t>YTD Total</t>
  </si>
  <si>
    <t>Income:</t>
  </si>
  <si>
    <t>Total Income</t>
  </si>
  <si>
    <t>MoM % growth</t>
  </si>
  <si>
    <t>Expenses:</t>
  </si>
  <si>
    <t>Total Expenses</t>
  </si>
  <si>
    <t>Savings</t>
  </si>
  <si>
    <t>Catogories</t>
  </si>
  <si>
    <t>9-5 job</t>
  </si>
  <si>
    <t>Finance Tracker</t>
  </si>
  <si>
    <t>Apartment split with friend</t>
  </si>
  <si>
    <t>Higher month than usual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</si>
  <si>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</si>
  <si>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</si>
  <si>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</si>
  <si>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</si>
  <si>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</si>
  <si>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</si>
  <si>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Startup idea $</t>
  </si>
  <si>
    <t>Average month</t>
  </si>
  <si>
    <t>Drinks out</t>
  </si>
  <si>
    <t>Date night</t>
  </si>
  <si>
    <t>Tennis x2</t>
  </si>
  <si>
    <t>Snacks</t>
  </si>
  <si>
    <t>Stock Dividends</t>
  </si>
  <si>
    <t>Lunch out x4</t>
  </si>
  <si>
    <t>Dinner with friends x2</t>
  </si>
  <si>
    <t>Exercise</t>
  </si>
  <si>
    <t>Travel back home</t>
  </si>
  <si>
    <t>NBA game</t>
  </si>
  <si>
    <t>Lemonade</t>
  </si>
  <si>
    <t>Hotel in Dallas</t>
  </si>
  <si>
    <t>Music concert</t>
  </si>
  <si>
    <t>Spa</t>
  </si>
  <si>
    <t>New Shoes</t>
  </si>
  <si>
    <t>New Cloths</t>
  </si>
  <si>
    <t>Ola/Uber pass</t>
  </si>
  <si>
    <t>BigBasket online order</t>
  </si>
  <si>
    <t>Weekend trekking trip</t>
  </si>
  <si>
    <t>Bought wireless headphones</t>
  </si>
  <si>
    <t>Quarterly performance bonus</t>
  </si>
  <si>
    <t>Monthly corporate salary</t>
  </si>
  <si>
    <t>Mutual fund dividends</t>
  </si>
  <si>
    <t>Freelance coding project</t>
  </si>
  <si>
    <t>D-markt shopping</t>
  </si>
  <si>
    <t>restaurant</t>
  </si>
  <si>
    <t>Team Party</t>
  </si>
  <si>
    <t xml:space="preserve"> Post Office</t>
  </si>
  <si>
    <t>Post Office</t>
  </si>
  <si>
    <t>Gold</t>
  </si>
  <si>
    <t>Income Breakdown</t>
  </si>
  <si>
    <t>Column1</t>
  </si>
  <si>
    <t>Expenses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</si>
</sst>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);\(#,##0\);\-\-_)"/>
    <numFmt numFmtId="165" formatCode="_ [$₹-4009]\ * #,##0.00_ ;_ [$₹-4009]\ * \-#,##0.00_ ;_ [$₹-4009]\ * &quot;-&quot;??_ ;_ @_ 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2"/>
      <color theme="0"/>
      <name val="Calibri"/>
    </font>
    <font>
      <b/>
      <sz val="12"/>
      <color theme="0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i/>
      <sz val="12"/>
      <color theme="1"/>
      <name val="Calibri"/>
    </font>
    <font>
      <b/>
      <i/>
      <sz val="12"/>
      <color theme="1"/>
      <name val="Calibri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C00000"/>
      <name val="Calibri"/>
      <family val="2"/>
    </font>
    <font>
      <b/>
      <sz val="12"/>
      <color theme="9" tint="-0.249977111117893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theme="3" tint="-0.249977111117893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3D68"/>
        <bgColor rgb="FF293D68"/>
      </patternFill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FFFF99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16" fontId="0" fillId="0" borderId="0" xfId="0" applyNumberFormat="1"/>
    <xf numFmtId="0" fontId="18" fillId="33" borderId="0" xfId="0" applyFont="1" applyFill="1" applyBorder="1"/>
    <xf numFmtId="17" fontId="19" fillId="33" borderId="0" xfId="0" applyNumberFormat="1" applyFont="1" applyFill="1" applyBorder="1" applyAlignment="1">
      <alignment horizontal="center"/>
    </xf>
    <xf numFmtId="0" fontId="21" fillId="0" borderId="0" xfId="0" applyFont="1"/>
    <xf numFmtId="0" fontId="0" fillId="0" borderId="0" xfId="0" applyFont="1" applyAlignment="1"/>
    <xf numFmtId="0" fontId="20" fillId="0" borderId="0" xfId="0" applyFont="1" applyAlignment="1">
      <alignment horizontal="left"/>
    </xf>
    <xf numFmtId="164" fontId="20" fillId="0" borderId="0" xfId="0" applyNumberFormat="1" applyFont="1"/>
    <xf numFmtId="0" fontId="22" fillId="34" borderId="10" xfId="0" applyFont="1" applyFill="1" applyBorder="1" applyAlignment="1">
      <alignment horizontal="left"/>
    </xf>
    <xf numFmtId="164" fontId="22" fillId="34" borderId="10" xfId="0" applyNumberFormat="1" applyFont="1" applyFill="1" applyBorder="1"/>
    <xf numFmtId="0" fontId="22" fillId="0" borderId="0" xfId="0" applyFont="1"/>
    <xf numFmtId="0" fontId="23" fillId="34" borderId="11" xfId="0" applyFont="1" applyFill="1" applyBorder="1" applyAlignment="1">
      <alignment horizontal="left"/>
    </xf>
    <xf numFmtId="164" fontId="24" fillId="34" borderId="11" xfId="0" applyNumberFormat="1" applyFont="1" applyFill="1" applyBorder="1"/>
    <xf numFmtId="164" fontId="22" fillId="34" borderId="11" xfId="0" applyNumberFormat="1" applyFont="1" applyFill="1" applyBorder="1"/>
    <xf numFmtId="0" fontId="22" fillId="0" borderId="0" xfId="0" applyFont="1" applyAlignment="1">
      <alignment horizontal="left"/>
    </xf>
    <xf numFmtId="164" fontId="22" fillId="0" borderId="0" xfId="0" applyNumberFormat="1" applyFont="1"/>
    <xf numFmtId="0" fontId="22" fillId="35" borderId="10" xfId="0" applyFont="1" applyFill="1" applyBorder="1" applyAlignment="1">
      <alignment horizontal="left"/>
    </xf>
    <xf numFmtId="164" fontId="22" fillId="35" borderId="10" xfId="0" applyNumberFormat="1" applyFont="1" applyFill="1" applyBorder="1"/>
    <xf numFmtId="0" fontId="23" fillId="35" borderId="11" xfId="0" applyFont="1" applyFill="1" applyBorder="1" applyAlignment="1">
      <alignment horizontal="left"/>
    </xf>
    <xf numFmtId="164" fontId="22" fillId="35" borderId="11" xfId="0" applyNumberFormat="1" applyFont="1" applyFill="1" applyBorder="1"/>
    <xf numFmtId="9" fontId="23" fillId="35" borderId="11" xfId="0" applyNumberFormat="1" applyFont="1" applyFill="1" applyBorder="1"/>
    <xf numFmtId="0" fontId="0" fillId="0" borderId="0" xfId="0" applyFont="1"/>
    <xf numFmtId="0" fontId="0" fillId="36" borderId="0" xfId="0" applyFill="1"/>
    <xf numFmtId="165" fontId="0" fillId="36" borderId="0" xfId="0" applyNumberFormat="1" applyFill="1"/>
    <xf numFmtId="165" fontId="0" fillId="0" borderId="0" xfId="0" applyNumberFormat="1"/>
    <xf numFmtId="15" fontId="0" fillId="0" borderId="0" xfId="0" applyNumberFormat="1"/>
    <xf numFmtId="16" fontId="26" fillId="0" borderId="0" xfId="0" applyNumberFormat="1" applyFont="1" applyAlignment="1">
      <alignment horizontal="left"/>
    </xf>
    <xf numFmtId="0" fontId="27" fillId="0" borderId="0" xfId="0" applyFont="1"/>
    <xf numFmtId="0" fontId="0" fillId="0" borderId="0" xfId="0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16" fontId="27" fillId="0" borderId="0" xfId="0" applyNumberFormat="1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16" fontId="27" fillId="0" borderId="0" xfId="0" applyNumberFormat="1" applyFont="1" applyAlignment="1">
      <alignment horizontal="left"/>
    </xf>
    <xf numFmtId="0" fontId="27" fillId="0" borderId="0" xfId="0" applyFont="1" applyAlignment="1">
      <alignment horizontal="left"/>
    </xf>
    <xf numFmtId="165" fontId="27" fillId="0" borderId="0" xfId="0" applyNumberFormat="1" applyFont="1" applyAlignment="1">
      <alignment horizontal="left"/>
    </xf>
    <xf numFmtId="164" fontId="26" fillId="0" borderId="0" xfId="0" applyNumberFormat="1" applyFont="1"/>
    <xf numFmtId="165" fontId="28" fillId="0" borderId="0" xfId="0" applyNumberFormat="1" applyFont="1"/>
    <xf numFmtId="0" fontId="22" fillId="37" borderId="10" xfId="0" applyFont="1" applyFill="1" applyBorder="1" applyAlignment="1">
      <alignment horizontal="left"/>
    </xf>
    <xf numFmtId="164" fontId="22" fillId="37" borderId="10" xfId="0" applyNumberFormat="1" applyFont="1" applyFill="1" applyBorder="1"/>
    <xf numFmtId="0" fontId="23" fillId="37" borderId="11" xfId="0" applyFont="1" applyFill="1" applyBorder="1" applyAlignment="1">
      <alignment horizontal="left"/>
    </xf>
    <xf numFmtId="164" fontId="22" fillId="37" borderId="11" xfId="0" applyNumberFormat="1" applyFont="1" applyFill="1" applyBorder="1"/>
    <xf numFmtId="9" fontId="29" fillId="34" borderId="11" xfId="0" applyNumberFormat="1" applyFont="1" applyFill="1" applyBorder="1"/>
    <xf numFmtId="9" fontId="16" fillId="38" borderId="11" xfId="19" applyNumberFormat="1" applyFont="1" applyFill="1" applyBorder="1"/>
    <xf numFmtId="0" fontId="25" fillId="18" borderId="9" xfId="17" applyFont="1" applyFill="1" applyAlignment="1">
      <alignment horizontal="center"/>
    </xf>
    <xf numFmtId="0" fontId="16" fillId="18" borderId="9" xfId="17" applyFill="1" applyAlignment="1">
      <alignment horizontal="center"/>
    </xf>
    <xf numFmtId="9" fontId="22" fillId="35" borderId="11" xfId="42" applyFont="1" applyFill="1" applyBorder="1"/>
    <xf numFmtId="9" fontId="29" fillId="35" borderId="11" xfId="0" applyNumberFormat="1" applyFont="1" applyFill="1" applyBorder="1"/>
    <xf numFmtId="16" fontId="27" fillId="0" borderId="0" xfId="0" applyNumberFormat="1" applyFont="1"/>
    <xf numFmtId="9" fontId="31" fillId="34" borderId="11" xfId="0" applyNumberFormat="1" applyFont="1" applyFill="1" applyBorder="1"/>
    <xf numFmtId="0" fontId="0" fillId="39" borderId="0" xfId="0" applyFill="1" applyAlignment="1">
      <alignment horizontal="center"/>
    </xf>
    <xf numFmtId="0" fontId="32" fillId="39" borderId="0" xfId="0" applyFont="1" applyFill="1" applyAlignment="1">
      <alignment horizontal="center"/>
    </xf>
    <xf numFmtId="17" fontId="33" fillId="33" borderId="0" xfId="0" applyNumberFormat="1" applyFont="1" applyFill="1" applyBorder="1" applyAlignment="1">
      <alignment horizontal="center"/>
    </xf>
    <xf numFmtId="164" fontId="20" fillId="40" borderId="0" xfId="0" applyNumberFormat="1" applyFont="1" applyFill="1" applyBorder="1"/>
    <xf numFmtId="164" fontId="22" fillId="41" borderId="0" xfId="0" applyNumberFormat="1" applyFont="1" applyFill="1" applyBorder="1"/>
    <xf numFmtId="9" fontId="16" fillId="40" borderId="0" xfId="19" applyNumberFormat="1" applyFont="1" applyFill="1" applyBorder="1"/>
    <xf numFmtId="0" fontId="22" fillId="40" borderId="0" xfId="0" applyFont="1" applyFill="1" applyBorder="1"/>
    <xf numFmtId="164" fontId="26" fillId="40" borderId="0" xfId="0" applyNumberFormat="1" applyFont="1" applyFill="1" applyBorder="1"/>
    <xf numFmtId="9" fontId="31" fillId="41" borderId="0" xfId="0" applyNumberFormat="1" applyFont="1" applyFill="1" applyBorder="1"/>
    <xf numFmtId="0" fontId="0" fillId="40" borderId="0" xfId="0" applyFont="1" applyFill="1" applyBorder="1" applyAlignment="1"/>
    <xf numFmtId="164" fontId="22" fillId="42" borderId="0" xfId="0" applyNumberFormat="1" applyFont="1" applyFill="1" applyBorder="1"/>
    <xf numFmtId="9" fontId="29" fillId="42" borderId="0" xfId="0" applyNumberFormat="1" applyFont="1" applyFill="1" applyBorder="1"/>
    <xf numFmtId="0" fontId="0" fillId="40" borderId="0" xfId="0" applyFill="1" applyBorder="1"/>
    <xf numFmtId="0" fontId="32" fillId="43" borderId="0" xfId="0" applyFont="1" applyFill="1" applyAlignment="1">
      <alignment horizontal="center"/>
    </xf>
    <xf numFmtId="164" fontId="30" fillId="37" borderId="11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numFmt numFmtId="22" formatCode="mmm/yy"/>
      <fill>
        <patternFill patternType="solid">
          <fgColor rgb="FF293D68"/>
          <bgColor rgb="FF293D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Dashboard!$B$8:$B$10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tx>
          <c:spPr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EEA-4391-85D4-2A45F9EB38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EEA-4391-85D4-2A45F9EB38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EEA-4391-85D4-2A45F9EB38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Dashboard!$B$8:$B$11</c:f>
              <c:strCache>
                <c:ptCount val="4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  <c:pt idx="3">
                  <c:v>Investments</c:v>
                </c:pt>
              </c:strCache>
            </c:strRef>
          </c:cat>
          <c:val>
            <c:numRef>
              <c:f>Dashboard!$P$8:$P$11</c:f>
              <c:numCache>
                <c:formatCode>#,##0_);\(#,##0\);\-\-_)</c:formatCode>
                <c:ptCount val="4"/>
                <c:pt idx="0">
                  <c:v>200000</c:v>
                </c:pt>
                <c:pt idx="1">
                  <c:v>17430</c:v>
                </c:pt>
                <c:pt idx="2">
                  <c:v>10015</c:v>
                </c:pt>
                <c:pt idx="3">
                  <c:v>20598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A-4391-85D4-2A45F9EB388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6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Dashboard!$B$16:$B$21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tx>
          <c:spPr>
            <a:effectLst>
              <a:glow rad="139700">
                <a:schemeClr val="accent1">
                  <a:satMod val="175000"/>
                  <a:alpha val="40000"/>
                </a:schemeClr>
              </a:glo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glow rad="139700">
                  <a:schemeClr val="accent1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glow rad="139700">
                  <a:schemeClr val="accent2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462-4C6F-9DCA-F8CED72F9F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glow rad="139700">
                  <a:schemeClr val="accent3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462-4C6F-9DCA-F8CED72F9F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glow rad="101600">
                  <a:schemeClr val="accent4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462-4C6F-9DCA-F8CED72F9F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glow rad="101600">
                  <a:schemeClr val="accent1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D462-4C6F-9DCA-F8CED72F9F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glow rad="139700">
                  <a:schemeClr val="accent6">
                    <a:satMod val="175000"/>
                    <a:alpha val="40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462-4C6F-9DCA-F8CED72F9F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Dashboard!$B$16:$B$21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Dashboard!$P$16:$P$21</c:f>
              <c:numCache>
                <c:formatCode>#,##0_);\(#,##0\);\-\-_)</c:formatCode>
                <c:ptCount val="6"/>
                <c:pt idx="0">
                  <c:v>12500</c:v>
                </c:pt>
                <c:pt idx="1">
                  <c:v>1471</c:v>
                </c:pt>
                <c:pt idx="2">
                  <c:v>1252</c:v>
                </c:pt>
                <c:pt idx="3">
                  <c:v>3550</c:v>
                </c:pt>
                <c:pt idx="4">
                  <c:v>3878</c:v>
                </c:pt>
                <c:pt idx="5">
                  <c:v>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62-4C6F-9DCA-F8CED72F9FB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6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30</xdr:row>
      <xdr:rowOff>85725</xdr:rowOff>
    </xdr:from>
    <xdr:to>
      <xdr:col>5</xdr:col>
      <xdr:colOff>409575</xdr:colOff>
      <xdr:row>44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561975</xdr:colOff>
      <xdr:row>30</xdr:row>
      <xdr:rowOff>57150</xdr:rowOff>
    </xdr:from>
    <xdr:to>
      <xdr:col>13</xdr:col>
      <xdr:colOff>542925</xdr:colOff>
      <xdr:row>44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B6:P26" totalsRowShown="0" headerRowDxfId="30">
  <autoFilter ref="B6:P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igures in USD"/>
    <tableColumn id="2" name="January"/>
    <tableColumn id="3" name="February"/>
    <tableColumn id="4" name="March"/>
    <tableColumn id="5" name="April"/>
    <tableColumn id="6" name="May"/>
    <tableColumn id="7" name="June"/>
    <tableColumn id="8" name="July"/>
    <tableColumn id="9" name="August"/>
    <tableColumn id="10" name="September"/>
    <tableColumn id="11" name="October"/>
    <tableColumn id="12" name="November"/>
    <tableColumn id="13" name="December"/>
    <tableColumn id="17" name="Column1"/>
    <tableColumn id="15" name="YTD 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"/>
  <sheetViews>
    <sheetView showGridLines="0" zoomScale="112" zoomScaleNormal="112" workbookViewId="0">
      <selection activeCell="G3" sqref="G3"/>
    </sheetView>
  </sheetViews>
  <sheetFormatPr defaultRowHeight="15" x14ac:dyDescent="0.25"/>
  <cols>
    <col min="1" max="1" width="15.5703125" customWidth="1"/>
    <col min="2" max="2" width="12.140625" customWidth="1"/>
    <col min="3" max="3" width="28" customWidth="1"/>
    <col min="4" max="4" width="23.28515625" customWidth="1"/>
    <col min="5" max="5" width="24.7109375" customWidth="1"/>
  </cols>
  <sheetData>
    <row r="1" spans="1:9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I1" s="22" t="s">
        <v>36</v>
      </c>
    </row>
    <row r="2" spans="1:9" ht="15.75" x14ac:dyDescent="0.25">
      <c r="A2" s="26">
        <v>44562</v>
      </c>
      <c r="B2" s="27" t="str">
        <f t="shared" ref="B2:B54" si="0">TEXT(A2,"MMMM")</f>
        <v>January</v>
      </c>
      <c r="C2" s="27" t="s">
        <v>14</v>
      </c>
      <c r="D2" s="27" t="s">
        <v>39</v>
      </c>
      <c r="E2" s="37">
        <v>1250</v>
      </c>
      <c r="I2" t="s">
        <v>14</v>
      </c>
    </row>
    <row r="3" spans="1:9" ht="15.75" x14ac:dyDescent="0.25">
      <c r="A3" s="26">
        <v>44562</v>
      </c>
      <c r="B3" s="27" t="str">
        <f t="shared" si="0"/>
        <v>January</v>
      </c>
      <c r="C3" s="27" t="s">
        <v>6</v>
      </c>
      <c r="D3" s="27" t="s">
        <v>40</v>
      </c>
      <c r="E3" s="37">
        <v>140</v>
      </c>
      <c r="I3" t="s">
        <v>6</v>
      </c>
    </row>
    <row r="4" spans="1:9" ht="15.75" x14ac:dyDescent="0.25">
      <c r="A4" s="26">
        <v>44562</v>
      </c>
      <c r="B4" s="27" t="str">
        <f t="shared" si="0"/>
        <v>January</v>
      </c>
      <c r="C4" s="27" t="s">
        <v>21</v>
      </c>
      <c r="D4" s="27" t="s">
        <v>27</v>
      </c>
      <c r="E4" s="37">
        <v>52</v>
      </c>
      <c r="I4" t="s">
        <v>21</v>
      </c>
    </row>
    <row r="5" spans="1:9" ht="15.75" x14ac:dyDescent="0.25">
      <c r="A5" s="26">
        <v>44569</v>
      </c>
      <c r="B5" s="27" t="str">
        <f t="shared" si="0"/>
        <v>January</v>
      </c>
      <c r="C5" s="27" t="s">
        <v>8</v>
      </c>
      <c r="D5" s="27" t="s">
        <v>41</v>
      </c>
      <c r="E5" s="37">
        <v>449</v>
      </c>
      <c r="I5" t="s">
        <v>8</v>
      </c>
    </row>
    <row r="6" spans="1:9" ht="15.75" x14ac:dyDescent="0.25">
      <c r="A6" s="26">
        <v>44572</v>
      </c>
      <c r="B6" s="27" t="str">
        <f t="shared" si="0"/>
        <v>January</v>
      </c>
      <c r="C6" s="27" t="s">
        <v>15</v>
      </c>
      <c r="D6" s="27" t="s">
        <v>42</v>
      </c>
      <c r="E6" s="37">
        <v>245</v>
      </c>
      <c r="I6" t="s">
        <v>15</v>
      </c>
    </row>
    <row r="7" spans="1:9" ht="15.75" x14ac:dyDescent="0.25">
      <c r="A7" s="26">
        <v>44573</v>
      </c>
      <c r="B7" s="27" t="str">
        <f t="shared" si="0"/>
        <v>January</v>
      </c>
      <c r="C7" s="27" t="s">
        <v>15</v>
      </c>
      <c r="D7" s="27" t="s">
        <v>43</v>
      </c>
      <c r="E7" s="37">
        <v>168</v>
      </c>
      <c r="I7" s="21" t="s">
        <v>12</v>
      </c>
    </row>
    <row r="8" spans="1:9" ht="15.75" x14ac:dyDescent="0.25">
      <c r="A8" s="26">
        <v>44573</v>
      </c>
      <c r="B8" s="27" t="str">
        <f t="shared" si="0"/>
        <v>January</v>
      </c>
      <c r="C8" s="27" t="s">
        <v>15</v>
      </c>
      <c r="D8" s="27" t="s">
        <v>44</v>
      </c>
      <c r="E8" s="37">
        <v>149</v>
      </c>
      <c r="I8" t="s">
        <v>10</v>
      </c>
    </row>
    <row r="9" spans="1:9" ht="15.75" x14ac:dyDescent="0.25">
      <c r="A9" s="26">
        <v>44575</v>
      </c>
      <c r="B9" s="27" t="str">
        <f t="shared" si="0"/>
        <v>January</v>
      </c>
      <c r="C9" s="27" t="s">
        <v>17</v>
      </c>
      <c r="D9" s="27" t="s">
        <v>45</v>
      </c>
      <c r="E9" s="37">
        <v>249</v>
      </c>
      <c r="I9" t="s">
        <v>23</v>
      </c>
    </row>
    <row r="10" spans="1:9" ht="15.75" x14ac:dyDescent="0.25">
      <c r="A10" s="26">
        <v>44592</v>
      </c>
      <c r="B10" s="27" t="str">
        <f t="shared" si="0"/>
        <v>January</v>
      </c>
      <c r="C10" s="27" t="s">
        <v>12</v>
      </c>
      <c r="D10" s="27" t="s">
        <v>46</v>
      </c>
      <c r="E10" s="37">
        <v>850</v>
      </c>
      <c r="I10" t="s">
        <v>19</v>
      </c>
    </row>
    <row r="11" spans="1:9" ht="15.75" x14ac:dyDescent="0.25">
      <c r="A11" s="26">
        <v>44592</v>
      </c>
      <c r="B11" s="27" t="str">
        <f t="shared" si="0"/>
        <v>January</v>
      </c>
      <c r="C11" s="27" t="s">
        <v>23</v>
      </c>
      <c r="D11" s="27" t="s">
        <v>37</v>
      </c>
      <c r="E11" s="37">
        <v>20000</v>
      </c>
      <c r="I11" t="s">
        <v>17</v>
      </c>
    </row>
    <row r="12" spans="1:9" ht="15.75" x14ac:dyDescent="0.25">
      <c r="A12" s="26">
        <v>44592</v>
      </c>
      <c r="B12" s="27" t="str">
        <f t="shared" si="0"/>
        <v>January</v>
      </c>
      <c r="C12" s="27" t="s">
        <v>10</v>
      </c>
      <c r="D12" s="27" t="s">
        <v>47</v>
      </c>
      <c r="E12" s="37">
        <v>500</v>
      </c>
    </row>
    <row r="13" spans="1:9" ht="15.75" x14ac:dyDescent="0.25">
      <c r="A13" s="26">
        <v>44593</v>
      </c>
      <c r="B13" s="27" t="str">
        <f t="shared" si="0"/>
        <v>February</v>
      </c>
      <c r="C13" s="27" t="s">
        <v>14</v>
      </c>
      <c r="D13" s="27" t="s">
        <v>39</v>
      </c>
      <c r="E13" s="37">
        <v>1250</v>
      </c>
    </row>
    <row r="14" spans="1:9" ht="15.75" x14ac:dyDescent="0.25">
      <c r="A14" s="26">
        <v>44593</v>
      </c>
      <c r="B14" s="27" t="str">
        <f t="shared" si="0"/>
        <v>February</v>
      </c>
      <c r="C14" s="27" t="s">
        <v>6</v>
      </c>
      <c r="D14" s="27" t="s">
        <v>48</v>
      </c>
      <c r="E14" s="37">
        <v>105</v>
      </c>
    </row>
    <row r="15" spans="1:9" ht="15.75" x14ac:dyDescent="0.25">
      <c r="A15" s="26">
        <v>44593</v>
      </c>
      <c r="B15" s="27" t="str">
        <f t="shared" si="0"/>
        <v>February</v>
      </c>
      <c r="C15" s="27" t="s">
        <v>21</v>
      </c>
      <c r="D15" s="27" t="s">
        <v>27</v>
      </c>
      <c r="E15" s="37">
        <v>200</v>
      </c>
    </row>
    <row r="16" spans="1:9" ht="15.75" x14ac:dyDescent="0.25">
      <c r="A16" s="26">
        <v>44600</v>
      </c>
      <c r="B16" s="27" t="str">
        <f t="shared" si="0"/>
        <v>February</v>
      </c>
      <c r="C16" s="27" t="s">
        <v>8</v>
      </c>
      <c r="D16" s="27" t="s">
        <v>41</v>
      </c>
      <c r="E16" s="37">
        <v>305</v>
      </c>
    </row>
    <row r="17" spans="1:5" ht="15.75" x14ac:dyDescent="0.25">
      <c r="A17" s="26">
        <v>44603</v>
      </c>
      <c r="B17" s="27" t="str">
        <f t="shared" si="0"/>
        <v>February</v>
      </c>
      <c r="C17" s="27" t="s">
        <v>15</v>
      </c>
      <c r="D17" s="27" t="s">
        <v>49</v>
      </c>
      <c r="E17" s="37">
        <v>28</v>
      </c>
    </row>
    <row r="18" spans="1:5" ht="15.75" x14ac:dyDescent="0.25">
      <c r="A18" s="26">
        <v>44604</v>
      </c>
      <c r="B18" s="27" t="str">
        <f t="shared" si="0"/>
        <v>February</v>
      </c>
      <c r="C18" s="27" t="s">
        <v>15</v>
      </c>
      <c r="D18" s="27" t="s">
        <v>50</v>
      </c>
      <c r="E18" s="37">
        <v>99</v>
      </c>
    </row>
    <row r="19" spans="1:5" ht="15.75" x14ac:dyDescent="0.25">
      <c r="A19" s="26">
        <v>44604</v>
      </c>
      <c r="B19" s="27" t="str">
        <f t="shared" si="0"/>
        <v>February</v>
      </c>
      <c r="C19" s="27" t="s">
        <v>15</v>
      </c>
      <c r="D19" s="27" t="s">
        <v>51</v>
      </c>
      <c r="E19" s="37">
        <v>67</v>
      </c>
    </row>
    <row r="20" spans="1:5" ht="15.75" x14ac:dyDescent="0.25">
      <c r="A20" s="26">
        <v>44606</v>
      </c>
      <c r="B20" s="27" t="str">
        <f t="shared" si="0"/>
        <v>February</v>
      </c>
      <c r="C20" s="27" t="s">
        <v>17</v>
      </c>
      <c r="D20" s="27" t="s">
        <v>52</v>
      </c>
      <c r="E20" s="37">
        <v>18</v>
      </c>
    </row>
    <row r="21" spans="1:5" ht="15.75" x14ac:dyDescent="0.25">
      <c r="A21" s="26">
        <v>44620</v>
      </c>
      <c r="B21" s="27" t="str">
        <f t="shared" si="0"/>
        <v>February</v>
      </c>
      <c r="C21" s="27" t="s">
        <v>12</v>
      </c>
      <c r="D21" s="27" t="s">
        <v>46</v>
      </c>
      <c r="E21" s="37">
        <v>1025</v>
      </c>
    </row>
    <row r="22" spans="1:5" ht="15.75" x14ac:dyDescent="0.25">
      <c r="A22" s="26">
        <v>44620</v>
      </c>
      <c r="B22" s="27" t="str">
        <f t="shared" si="0"/>
        <v>February</v>
      </c>
      <c r="C22" s="27" t="s">
        <v>23</v>
      </c>
      <c r="D22" s="27" t="s">
        <v>37</v>
      </c>
      <c r="E22" s="37">
        <v>20000</v>
      </c>
    </row>
    <row r="23" spans="1:5" ht="15.75" x14ac:dyDescent="0.25">
      <c r="A23" s="26">
        <v>44620</v>
      </c>
      <c r="B23" s="27" t="str">
        <f t="shared" si="0"/>
        <v>February</v>
      </c>
      <c r="C23" s="27" t="s">
        <v>10</v>
      </c>
      <c r="D23" s="27" t="s">
        <v>47</v>
      </c>
      <c r="E23" s="37">
        <v>600</v>
      </c>
    </row>
    <row r="24" spans="1:5" ht="15.75" x14ac:dyDescent="0.25">
      <c r="A24" s="26">
        <v>44620</v>
      </c>
      <c r="B24" s="27" t="str">
        <f t="shared" si="0"/>
        <v>February</v>
      </c>
      <c r="C24" s="27" t="s">
        <v>19</v>
      </c>
      <c r="D24" s="27" t="s">
        <v>77</v>
      </c>
      <c r="E24" s="37">
        <v>1000</v>
      </c>
    </row>
    <row r="25" spans="1:5" ht="15.75" x14ac:dyDescent="0.25">
      <c r="A25" s="26">
        <v>44621</v>
      </c>
      <c r="B25" s="27" t="str">
        <f t="shared" si="0"/>
        <v>March</v>
      </c>
      <c r="C25" s="27" t="s">
        <v>14</v>
      </c>
      <c r="D25" s="27" t="s">
        <v>39</v>
      </c>
      <c r="E25" s="37">
        <v>1250</v>
      </c>
    </row>
    <row r="26" spans="1:5" ht="15.75" x14ac:dyDescent="0.25">
      <c r="A26" s="26">
        <v>44621</v>
      </c>
      <c r="B26" s="27" t="str">
        <f t="shared" si="0"/>
        <v>March</v>
      </c>
      <c r="C26" s="27" t="s">
        <v>6</v>
      </c>
      <c r="D26" s="27" t="s">
        <v>48</v>
      </c>
      <c r="E26" s="37">
        <v>110</v>
      </c>
    </row>
    <row r="27" spans="1:5" ht="15.75" x14ac:dyDescent="0.25">
      <c r="A27" s="26">
        <v>44621</v>
      </c>
      <c r="B27" s="27" t="str">
        <f t="shared" si="0"/>
        <v>March</v>
      </c>
      <c r="C27" s="27" t="s">
        <v>21</v>
      </c>
      <c r="D27" s="27" t="s">
        <v>27</v>
      </c>
      <c r="E27" s="37">
        <v>120</v>
      </c>
    </row>
    <row r="28" spans="1:5" ht="15.75" x14ac:dyDescent="0.25">
      <c r="A28" s="26">
        <v>44628</v>
      </c>
      <c r="B28" s="27" t="str">
        <f t="shared" si="0"/>
        <v>March</v>
      </c>
      <c r="C28" s="27" t="s">
        <v>8</v>
      </c>
      <c r="D28" s="27" t="s">
        <v>41</v>
      </c>
      <c r="E28" s="37">
        <v>208</v>
      </c>
    </row>
    <row r="29" spans="1:5" ht="15.75" x14ac:dyDescent="0.25">
      <c r="A29" s="26">
        <v>44631</v>
      </c>
      <c r="B29" s="27" t="str">
        <f t="shared" si="0"/>
        <v>March</v>
      </c>
      <c r="C29" s="27" t="s">
        <v>15</v>
      </c>
      <c r="D29" s="27" t="s">
        <v>54</v>
      </c>
      <c r="E29" s="37">
        <v>188</v>
      </c>
    </row>
    <row r="30" spans="1:5" ht="15.75" x14ac:dyDescent="0.25">
      <c r="A30" s="26">
        <v>44632</v>
      </c>
      <c r="B30" s="27" t="str">
        <f t="shared" si="0"/>
        <v>March</v>
      </c>
      <c r="C30" s="27" t="s">
        <v>15</v>
      </c>
      <c r="D30" s="27" t="s">
        <v>55</v>
      </c>
      <c r="E30" s="37">
        <v>168</v>
      </c>
    </row>
    <row r="31" spans="1:5" ht="15.75" x14ac:dyDescent="0.25">
      <c r="A31" s="26">
        <v>44632</v>
      </c>
      <c r="B31" s="27" t="str">
        <f t="shared" si="0"/>
        <v>March</v>
      </c>
      <c r="C31" s="27" t="s">
        <v>15</v>
      </c>
      <c r="D31" s="27" t="s">
        <v>56</v>
      </c>
      <c r="E31" s="37">
        <v>49</v>
      </c>
    </row>
    <row r="32" spans="1:5" ht="15.75" x14ac:dyDescent="0.25">
      <c r="A32" s="26">
        <v>44634</v>
      </c>
      <c r="B32" s="27" t="str">
        <f t="shared" si="0"/>
        <v>March</v>
      </c>
      <c r="C32" s="27" t="s">
        <v>17</v>
      </c>
      <c r="D32" s="27" t="s">
        <v>45</v>
      </c>
      <c r="E32" s="37">
        <v>199</v>
      </c>
    </row>
    <row r="33" spans="1:5" ht="15.75" x14ac:dyDescent="0.25">
      <c r="A33" s="26">
        <v>44648</v>
      </c>
      <c r="B33" s="27" t="str">
        <f t="shared" si="0"/>
        <v>March</v>
      </c>
      <c r="C33" s="27" t="s">
        <v>12</v>
      </c>
      <c r="D33" s="27" t="s">
        <v>46</v>
      </c>
      <c r="E33" s="37">
        <v>999</v>
      </c>
    </row>
    <row r="34" spans="1:5" ht="15.75" x14ac:dyDescent="0.25">
      <c r="A34" s="26">
        <v>44648</v>
      </c>
      <c r="B34" s="27" t="str">
        <f t="shared" si="0"/>
        <v>March</v>
      </c>
      <c r="C34" s="27" t="s">
        <v>23</v>
      </c>
      <c r="D34" s="27" t="s">
        <v>37</v>
      </c>
      <c r="E34" s="37">
        <v>20000</v>
      </c>
    </row>
    <row r="35" spans="1:5" ht="15.75" x14ac:dyDescent="0.25">
      <c r="A35" s="26">
        <v>44648</v>
      </c>
      <c r="B35" s="27" t="str">
        <f t="shared" si="0"/>
        <v>March</v>
      </c>
      <c r="C35" s="27" t="s">
        <v>19</v>
      </c>
      <c r="D35" s="27" t="s">
        <v>53</v>
      </c>
      <c r="E35" s="37">
        <v>299</v>
      </c>
    </row>
    <row r="36" spans="1:5" ht="15.75" x14ac:dyDescent="0.25">
      <c r="A36" s="26">
        <v>44648</v>
      </c>
      <c r="B36" s="27" t="str">
        <f t="shared" si="0"/>
        <v>March</v>
      </c>
      <c r="C36" s="27" t="s">
        <v>10</v>
      </c>
      <c r="D36" s="27" t="s">
        <v>47</v>
      </c>
      <c r="E36" s="37">
        <v>1000</v>
      </c>
    </row>
    <row r="37" spans="1:5" ht="15.75" x14ac:dyDescent="0.25">
      <c r="A37" s="26">
        <v>44652</v>
      </c>
      <c r="B37" s="27" t="str">
        <f t="shared" si="0"/>
        <v>April</v>
      </c>
      <c r="C37" s="27" t="s">
        <v>14</v>
      </c>
      <c r="D37" s="27" t="s">
        <v>39</v>
      </c>
      <c r="E37" s="37">
        <v>1250</v>
      </c>
    </row>
    <row r="38" spans="1:5" ht="15.75" x14ac:dyDescent="0.25">
      <c r="A38" s="26">
        <v>44652</v>
      </c>
      <c r="B38" s="27" t="str">
        <f t="shared" si="0"/>
        <v>April</v>
      </c>
      <c r="C38" s="27" t="s">
        <v>6</v>
      </c>
      <c r="D38" s="27" t="s">
        <v>40</v>
      </c>
      <c r="E38" s="37">
        <v>140</v>
      </c>
    </row>
    <row r="39" spans="1:5" ht="15.75" x14ac:dyDescent="0.25">
      <c r="A39" s="26">
        <v>44652</v>
      </c>
      <c r="B39" s="27" t="str">
        <f t="shared" si="0"/>
        <v>April</v>
      </c>
      <c r="C39" s="27" t="s">
        <v>21</v>
      </c>
      <c r="D39" s="27" t="s">
        <v>27</v>
      </c>
      <c r="E39" s="37">
        <v>190</v>
      </c>
    </row>
    <row r="40" spans="1:5" ht="15.75" x14ac:dyDescent="0.25">
      <c r="A40" s="26">
        <v>44659</v>
      </c>
      <c r="B40" s="27" t="str">
        <f t="shared" si="0"/>
        <v>April</v>
      </c>
      <c r="C40" s="27" t="s">
        <v>8</v>
      </c>
      <c r="D40" s="27" t="s">
        <v>41</v>
      </c>
      <c r="E40" s="37">
        <v>449</v>
      </c>
    </row>
    <row r="41" spans="1:5" ht="15.75" x14ac:dyDescent="0.25">
      <c r="A41" s="26">
        <v>44659</v>
      </c>
      <c r="B41" s="27" t="str">
        <f t="shared" si="0"/>
        <v>April</v>
      </c>
      <c r="C41" s="27" t="s">
        <v>19</v>
      </c>
      <c r="D41" s="27" t="s">
        <v>53</v>
      </c>
      <c r="E41" s="37">
        <v>359</v>
      </c>
    </row>
    <row r="42" spans="1:5" ht="15.75" x14ac:dyDescent="0.25">
      <c r="A42" s="26">
        <v>44662</v>
      </c>
      <c r="B42" s="27" t="str">
        <f t="shared" si="0"/>
        <v>April</v>
      </c>
      <c r="C42" s="27" t="s">
        <v>15</v>
      </c>
      <c r="D42" s="27" t="s">
        <v>57</v>
      </c>
      <c r="E42" s="37">
        <v>245</v>
      </c>
    </row>
    <row r="43" spans="1:5" ht="15.75" x14ac:dyDescent="0.25">
      <c r="A43" s="26">
        <v>44663</v>
      </c>
      <c r="B43" s="27" t="str">
        <f t="shared" si="0"/>
        <v>April</v>
      </c>
      <c r="C43" s="27" t="s">
        <v>15</v>
      </c>
      <c r="D43" s="27" t="s">
        <v>43</v>
      </c>
      <c r="E43" s="37">
        <v>168</v>
      </c>
    </row>
    <row r="44" spans="1:5" ht="15.75" x14ac:dyDescent="0.25">
      <c r="A44" s="26">
        <v>44663</v>
      </c>
      <c r="B44" s="27" t="str">
        <f t="shared" si="0"/>
        <v>April</v>
      </c>
      <c r="C44" s="27" t="s">
        <v>15</v>
      </c>
      <c r="D44" s="27" t="s">
        <v>75</v>
      </c>
      <c r="E44" s="37">
        <v>300</v>
      </c>
    </row>
    <row r="45" spans="1:5" ht="15.75" x14ac:dyDescent="0.25">
      <c r="A45" s="26">
        <v>44665</v>
      </c>
      <c r="B45" s="27" t="str">
        <f t="shared" si="0"/>
        <v>April</v>
      </c>
      <c r="C45" s="27" t="s">
        <v>17</v>
      </c>
      <c r="D45" s="27" t="s">
        <v>45</v>
      </c>
      <c r="E45" s="37">
        <v>249</v>
      </c>
    </row>
    <row r="46" spans="1:5" ht="15.75" x14ac:dyDescent="0.25">
      <c r="A46" s="26">
        <v>44679</v>
      </c>
      <c r="B46" s="27" t="str">
        <f t="shared" si="0"/>
        <v>April</v>
      </c>
      <c r="C46" s="27" t="s">
        <v>12</v>
      </c>
      <c r="D46" s="27" t="s">
        <v>46</v>
      </c>
      <c r="E46" s="37">
        <v>1243</v>
      </c>
    </row>
    <row r="47" spans="1:5" ht="15.75" x14ac:dyDescent="0.25">
      <c r="A47" s="26">
        <v>44679</v>
      </c>
      <c r="B47" s="27" t="str">
        <f t="shared" si="0"/>
        <v>April</v>
      </c>
      <c r="C47" s="27" t="s">
        <v>23</v>
      </c>
      <c r="D47" s="27" t="s">
        <v>37</v>
      </c>
      <c r="E47" s="37">
        <v>20000</v>
      </c>
    </row>
    <row r="48" spans="1:5" ht="15.75" x14ac:dyDescent="0.25">
      <c r="A48" s="26">
        <v>44679</v>
      </c>
      <c r="B48" s="27" t="str">
        <f t="shared" si="0"/>
        <v>April</v>
      </c>
      <c r="C48" s="27" t="s">
        <v>10</v>
      </c>
      <c r="D48" s="27" t="s">
        <v>47</v>
      </c>
      <c r="E48" s="37">
        <v>1500</v>
      </c>
    </row>
    <row r="49" spans="1:5" ht="15.75" x14ac:dyDescent="0.25">
      <c r="A49" s="26">
        <v>44682</v>
      </c>
      <c r="B49" s="27" t="str">
        <f t="shared" si="0"/>
        <v>May</v>
      </c>
      <c r="C49" s="27" t="s">
        <v>14</v>
      </c>
      <c r="D49" s="27" t="s">
        <v>39</v>
      </c>
      <c r="E49" s="37">
        <v>1250</v>
      </c>
    </row>
    <row r="50" spans="1:5" ht="15.75" x14ac:dyDescent="0.25">
      <c r="A50" s="26">
        <v>44682</v>
      </c>
      <c r="B50" s="27" t="str">
        <f t="shared" si="0"/>
        <v>May</v>
      </c>
      <c r="C50" s="27" t="s">
        <v>6</v>
      </c>
      <c r="D50" s="27" t="s">
        <v>40</v>
      </c>
      <c r="E50" s="37">
        <v>152</v>
      </c>
    </row>
    <row r="51" spans="1:5" ht="15.75" x14ac:dyDescent="0.25">
      <c r="A51" s="26">
        <v>44682</v>
      </c>
      <c r="B51" s="27" t="str">
        <f t="shared" si="0"/>
        <v>May</v>
      </c>
      <c r="C51" s="27" t="s">
        <v>21</v>
      </c>
      <c r="D51" s="27" t="s">
        <v>27</v>
      </c>
      <c r="E51" s="37">
        <v>150</v>
      </c>
    </row>
    <row r="52" spans="1:5" ht="15.75" x14ac:dyDescent="0.25">
      <c r="A52" s="26">
        <v>44689</v>
      </c>
      <c r="B52" s="27" t="str">
        <f t="shared" si="0"/>
        <v>May</v>
      </c>
      <c r="C52" s="27" t="s">
        <v>8</v>
      </c>
      <c r="D52" s="27" t="s">
        <v>41</v>
      </c>
      <c r="E52" s="37">
        <v>449</v>
      </c>
    </row>
    <row r="53" spans="1:5" ht="15.75" x14ac:dyDescent="0.25">
      <c r="A53" s="26">
        <v>44692</v>
      </c>
      <c r="B53" s="27" t="str">
        <f t="shared" si="0"/>
        <v>May</v>
      </c>
      <c r="C53" s="27" t="s">
        <v>15</v>
      </c>
      <c r="D53" s="27" t="s">
        <v>42</v>
      </c>
      <c r="E53" s="37">
        <v>245</v>
      </c>
    </row>
    <row r="54" spans="1:5" ht="15.75" x14ac:dyDescent="0.25">
      <c r="A54" s="26">
        <v>44693</v>
      </c>
      <c r="B54" s="27" t="str">
        <f t="shared" si="0"/>
        <v>May</v>
      </c>
      <c r="C54" s="27" t="s">
        <v>15</v>
      </c>
      <c r="D54" s="27" t="s">
        <v>43</v>
      </c>
      <c r="E54" s="37">
        <v>168</v>
      </c>
    </row>
    <row r="55" spans="1:5" ht="15.75" x14ac:dyDescent="0.25">
      <c r="A55" s="26">
        <v>44693</v>
      </c>
      <c r="B55" s="27" t="str">
        <f>TEXT(A52,"MMMM")</f>
        <v>May</v>
      </c>
      <c r="C55" s="27" t="s">
        <v>15</v>
      </c>
      <c r="D55" s="27" t="s">
        <v>58</v>
      </c>
      <c r="E55" s="37">
        <v>233</v>
      </c>
    </row>
    <row r="56" spans="1:5" ht="15.75" x14ac:dyDescent="0.25">
      <c r="A56" s="26">
        <v>44695</v>
      </c>
      <c r="B56" s="27" t="str">
        <f t="shared" ref="B56:B93" si="1">TEXT(A56,"MMMM")</f>
        <v>May</v>
      </c>
      <c r="C56" s="27" t="s">
        <v>17</v>
      </c>
      <c r="D56" s="27" t="s">
        <v>45</v>
      </c>
      <c r="E56" s="37">
        <v>249</v>
      </c>
    </row>
    <row r="57" spans="1:5" ht="15.75" x14ac:dyDescent="0.25">
      <c r="A57" s="26">
        <v>44709</v>
      </c>
      <c r="B57" s="27" t="str">
        <f t="shared" si="1"/>
        <v>May</v>
      </c>
      <c r="C57" s="27" t="s">
        <v>12</v>
      </c>
      <c r="D57" s="27" t="s">
        <v>46</v>
      </c>
      <c r="E57" s="37">
        <v>1450</v>
      </c>
    </row>
    <row r="58" spans="1:5" ht="15.75" x14ac:dyDescent="0.25">
      <c r="A58" s="26">
        <v>44709</v>
      </c>
      <c r="B58" s="27" t="str">
        <f t="shared" si="1"/>
        <v>May</v>
      </c>
      <c r="C58" s="27" t="s">
        <v>23</v>
      </c>
      <c r="D58" s="27" t="s">
        <v>37</v>
      </c>
      <c r="E58" s="37">
        <v>20000</v>
      </c>
    </row>
    <row r="59" spans="1:5" ht="15.75" x14ac:dyDescent="0.25">
      <c r="A59" s="26">
        <v>44709</v>
      </c>
      <c r="B59" s="27" t="str">
        <f t="shared" si="1"/>
        <v>May</v>
      </c>
      <c r="C59" s="27" t="s">
        <v>10</v>
      </c>
      <c r="D59" s="27" t="s">
        <v>47</v>
      </c>
      <c r="E59" s="37">
        <v>366</v>
      </c>
    </row>
    <row r="60" spans="1:5" ht="15.75" x14ac:dyDescent="0.25">
      <c r="A60" s="26">
        <v>44710</v>
      </c>
      <c r="B60" s="27" t="str">
        <f t="shared" si="1"/>
        <v>May</v>
      </c>
      <c r="C60" s="27" t="s">
        <v>10</v>
      </c>
      <c r="D60" s="27" t="s">
        <v>59</v>
      </c>
      <c r="E60" s="37">
        <v>1000</v>
      </c>
    </row>
    <row r="61" spans="1:5" ht="15.75" x14ac:dyDescent="0.25">
      <c r="A61" s="26">
        <v>44713</v>
      </c>
      <c r="B61" s="27" t="str">
        <f t="shared" si="1"/>
        <v>June</v>
      </c>
      <c r="C61" s="27" t="s">
        <v>14</v>
      </c>
      <c r="D61" s="27" t="s">
        <v>39</v>
      </c>
      <c r="E61" s="37">
        <v>1250</v>
      </c>
    </row>
    <row r="62" spans="1:5" ht="15.75" x14ac:dyDescent="0.25">
      <c r="A62" s="26">
        <v>44713</v>
      </c>
      <c r="B62" s="27" t="str">
        <f t="shared" si="1"/>
        <v>June</v>
      </c>
      <c r="C62" s="27" t="s">
        <v>6</v>
      </c>
      <c r="D62" s="27" t="s">
        <v>40</v>
      </c>
      <c r="E62" s="37">
        <v>152</v>
      </c>
    </row>
    <row r="63" spans="1:5" ht="15.75" x14ac:dyDescent="0.25">
      <c r="A63" s="26">
        <v>44713</v>
      </c>
      <c r="B63" s="27" t="str">
        <f t="shared" si="1"/>
        <v>June</v>
      </c>
      <c r="C63" s="27" t="s">
        <v>21</v>
      </c>
      <c r="D63" s="27" t="s">
        <v>27</v>
      </c>
      <c r="E63" s="37">
        <v>52</v>
      </c>
    </row>
    <row r="64" spans="1:5" ht="15.75" x14ac:dyDescent="0.25">
      <c r="A64" s="26">
        <v>44720</v>
      </c>
      <c r="B64" s="27" t="str">
        <f t="shared" si="1"/>
        <v>June</v>
      </c>
      <c r="C64" s="27" t="s">
        <v>8</v>
      </c>
      <c r="D64" s="27" t="s">
        <v>41</v>
      </c>
      <c r="E64" s="37">
        <v>560</v>
      </c>
    </row>
    <row r="65" spans="1:5" ht="15.75" x14ac:dyDescent="0.25">
      <c r="A65" s="26">
        <v>44723</v>
      </c>
      <c r="B65" s="27" t="str">
        <f t="shared" si="1"/>
        <v>June</v>
      </c>
      <c r="C65" s="27" t="s">
        <v>15</v>
      </c>
      <c r="D65" s="27" t="s">
        <v>60</v>
      </c>
      <c r="E65" s="37">
        <v>280</v>
      </c>
    </row>
    <row r="66" spans="1:5" ht="15.75" x14ac:dyDescent="0.25">
      <c r="A66" s="26">
        <v>44724</v>
      </c>
      <c r="B66" s="27" t="str">
        <f t="shared" si="1"/>
        <v>June</v>
      </c>
      <c r="C66" s="27" t="s">
        <v>15</v>
      </c>
      <c r="D66" s="27" t="s">
        <v>43</v>
      </c>
      <c r="E66" s="37">
        <v>250</v>
      </c>
    </row>
    <row r="67" spans="1:5" ht="15.75" x14ac:dyDescent="0.25">
      <c r="A67" s="26">
        <v>44724</v>
      </c>
      <c r="B67" s="27" t="str">
        <f t="shared" si="1"/>
        <v>June</v>
      </c>
      <c r="C67" s="27" t="s">
        <v>15</v>
      </c>
      <c r="D67" s="27" t="s">
        <v>61</v>
      </c>
      <c r="E67" s="37">
        <v>99</v>
      </c>
    </row>
    <row r="68" spans="1:5" ht="15.75" x14ac:dyDescent="0.25">
      <c r="A68" s="26">
        <v>44742</v>
      </c>
      <c r="B68" s="27" t="str">
        <f t="shared" si="1"/>
        <v>June</v>
      </c>
      <c r="C68" s="27" t="s">
        <v>12</v>
      </c>
      <c r="D68" s="27" t="s">
        <v>46</v>
      </c>
      <c r="E68" s="37">
        <v>2232</v>
      </c>
    </row>
    <row r="69" spans="1:5" ht="15.75" x14ac:dyDescent="0.25">
      <c r="A69" s="26">
        <v>44742</v>
      </c>
      <c r="B69" s="27" t="str">
        <f t="shared" si="1"/>
        <v>June</v>
      </c>
      <c r="C69" s="27" t="s">
        <v>23</v>
      </c>
      <c r="D69" s="27" t="s">
        <v>37</v>
      </c>
      <c r="E69" s="37">
        <v>20000</v>
      </c>
    </row>
    <row r="70" spans="1:5" ht="15.75" x14ac:dyDescent="0.25">
      <c r="A70" s="26">
        <v>44742</v>
      </c>
      <c r="B70" s="27" t="str">
        <f t="shared" si="1"/>
        <v>June</v>
      </c>
      <c r="C70" s="27" t="s">
        <v>10</v>
      </c>
      <c r="D70" s="27" t="s">
        <v>47</v>
      </c>
      <c r="E70" s="37">
        <v>199</v>
      </c>
    </row>
    <row r="71" spans="1:5" ht="15.75" x14ac:dyDescent="0.25">
      <c r="A71" s="26">
        <v>45823</v>
      </c>
      <c r="B71" s="27" t="s">
        <v>22</v>
      </c>
      <c r="C71" s="27" t="s">
        <v>17</v>
      </c>
      <c r="D71" s="27" t="s">
        <v>74</v>
      </c>
      <c r="E71" s="37">
        <v>500</v>
      </c>
    </row>
    <row r="72" spans="1:5" ht="15.75" x14ac:dyDescent="0.25">
      <c r="A72" s="26">
        <v>44742</v>
      </c>
      <c r="B72" s="27" t="str">
        <f t="shared" si="1"/>
        <v>June</v>
      </c>
      <c r="C72" s="27" t="s">
        <v>19</v>
      </c>
      <c r="D72" s="27" t="s">
        <v>76</v>
      </c>
      <c r="E72" s="37">
        <v>1000</v>
      </c>
    </row>
    <row r="73" spans="1:5" ht="15.75" x14ac:dyDescent="0.25">
      <c r="A73" s="26">
        <v>44743</v>
      </c>
      <c r="B73" s="27" t="str">
        <f t="shared" si="1"/>
        <v>July</v>
      </c>
      <c r="C73" s="27" t="s">
        <v>6</v>
      </c>
      <c r="D73" s="27" t="s">
        <v>48</v>
      </c>
      <c r="E73" s="37">
        <v>110</v>
      </c>
    </row>
    <row r="74" spans="1:5" ht="15.75" x14ac:dyDescent="0.25">
      <c r="A74" s="26">
        <v>44743</v>
      </c>
      <c r="B74" s="27" t="str">
        <f t="shared" si="1"/>
        <v>July</v>
      </c>
      <c r="C74" s="27" t="s">
        <v>21</v>
      </c>
      <c r="D74" s="27" t="s">
        <v>27</v>
      </c>
      <c r="E74" s="37">
        <v>123</v>
      </c>
    </row>
    <row r="75" spans="1:5" ht="15.75" x14ac:dyDescent="0.25">
      <c r="A75" s="26">
        <v>44743</v>
      </c>
      <c r="B75" s="27" t="str">
        <f t="shared" si="1"/>
        <v>July</v>
      </c>
      <c r="C75" s="27" t="s">
        <v>14</v>
      </c>
      <c r="D75" s="27" t="s">
        <v>39</v>
      </c>
      <c r="E75" s="37">
        <v>1250</v>
      </c>
    </row>
    <row r="76" spans="1:5" ht="15.75" x14ac:dyDescent="0.25">
      <c r="A76" s="26">
        <v>44753</v>
      </c>
      <c r="B76" s="27" t="str">
        <f t="shared" si="1"/>
        <v>July</v>
      </c>
      <c r="C76" s="27" t="s">
        <v>8</v>
      </c>
      <c r="D76" s="27" t="s">
        <v>41</v>
      </c>
      <c r="E76" s="37">
        <v>208</v>
      </c>
    </row>
    <row r="77" spans="1:5" ht="15.75" x14ac:dyDescent="0.25">
      <c r="A77" s="26">
        <v>44753</v>
      </c>
      <c r="B77" s="27" t="str">
        <f t="shared" si="1"/>
        <v>July</v>
      </c>
      <c r="C77" s="27" t="s">
        <v>15</v>
      </c>
      <c r="D77" s="27" t="s">
        <v>54</v>
      </c>
      <c r="E77" s="37">
        <v>245</v>
      </c>
    </row>
    <row r="78" spans="1:5" ht="15.75" x14ac:dyDescent="0.25">
      <c r="A78" s="26">
        <v>44753</v>
      </c>
      <c r="B78" s="27" t="str">
        <f t="shared" si="1"/>
        <v>July</v>
      </c>
      <c r="C78" s="27" t="s">
        <v>15</v>
      </c>
      <c r="D78" s="27" t="s">
        <v>56</v>
      </c>
      <c r="E78" s="37">
        <v>30</v>
      </c>
    </row>
    <row r="79" spans="1:5" ht="15.75" x14ac:dyDescent="0.25">
      <c r="A79" s="26">
        <v>44755</v>
      </c>
      <c r="B79" s="27" t="str">
        <f t="shared" si="1"/>
        <v>July</v>
      </c>
      <c r="C79" s="27" t="s">
        <v>17</v>
      </c>
      <c r="D79" s="27" t="s">
        <v>45</v>
      </c>
      <c r="E79" s="37">
        <v>399</v>
      </c>
    </row>
    <row r="80" spans="1:5" ht="15.75" x14ac:dyDescent="0.25">
      <c r="A80" s="26">
        <v>44770</v>
      </c>
      <c r="B80" s="27" t="str">
        <f t="shared" si="1"/>
        <v>July</v>
      </c>
      <c r="C80" s="27" t="s">
        <v>12</v>
      </c>
      <c r="D80" s="27" t="s">
        <v>46</v>
      </c>
      <c r="E80" s="37">
        <v>2231</v>
      </c>
    </row>
    <row r="81" spans="1:5" ht="15.75" x14ac:dyDescent="0.25">
      <c r="A81" s="26">
        <v>44770</v>
      </c>
      <c r="B81" s="27" t="str">
        <f t="shared" si="1"/>
        <v>July</v>
      </c>
      <c r="C81" s="27" t="s">
        <v>23</v>
      </c>
      <c r="D81" s="27" t="s">
        <v>37</v>
      </c>
      <c r="E81" s="37">
        <v>20000</v>
      </c>
    </row>
    <row r="82" spans="1:5" ht="15.75" x14ac:dyDescent="0.25">
      <c r="A82" s="26">
        <v>44770</v>
      </c>
      <c r="B82" s="27" t="str">
        <f t="shared" si="1"/>
        <v>July</v>
      </c>
      <c r="C82" s="27" t="s">
        <v>19</v>
      </c>
      <c r="D82" s="27" t="s">
        <v>53</v>
      </c>
      <c r="E82" s="37">
        <v>215</v>
      </c>
    </row>
    <row r="83" spans="1:5" ht="15.75" x14ac:dyDescent="0.25">
      <c r="A83" s="26">
        <v>44770</v>
      </c>
      <c r="B83" s="27" t="str">
        <f t="shared" si="1"/>
        <v>July</v>
      </c>
      <c r="C83" s="27" t="s">
        <v>10</v>
      </c>
      <c r="D83" s="27" t="s">
        <v>47</v>
      </c>
      <c r="E83" s="37">
        <v>1500</v>
      </c>
    </row>
    <row r="84" spans="1:5" ht="15.75" x14ac:dyDescent="0.25">
      <c r="A84" s="26">
        <v>44774</v>
      </c>
      <c r="B84" s="27" t="str">
        <f t="shared" si="1"/>
        <v>August</v>
      </c>
      <c r="C84" s="27" t="s">
        <v>6</v>
      </c>
      <c r="D84" s="27" t="s">
        <v>48</v>
      </c>
      <c r="E84" s="37">
        <v>110</v>
      </c>
    </row>
    <row r="85" spans="1:5" ht="15.75" x14ac:dyDescent="0.25">
      <c r="A85" s="26">
        <v>44774</v>
      </c>
      <c r="B85" s="27" t="str">
        <f t="shared" si="1"/>
        <v>August</v>
      </c>
      <c r="C85" s="27" t="s">
        <v>14</v>
      </c>
      <c r="D85" s="27" t="s">
        <v>39</v>
      </c>
      <c r="E85" s="37">
        <v>1250</v>
      </c>
    </row>
    <row r="86" spans="1:5" ht="15.75" x14ac:dyDescent="0.25">
      <c r="A86" s="26">
        <v>44774</v>
      </c>
      <c r="B86" s="27" t="str">
        <f t="shared" si="1"/>
        <v>August</v>
      </c>
      <c r="C86" s="27" t="s">
        <v>21</v>
      </c>
      <c r="D86" s="27" t="s">
        <v>27</v>
      </c>
      <c r="E86" s="37">
        <v>99</v>
      </c>
    </row>
    <row r="87" spans="1:5" ht="15.75" x14ac:dyDescent="0.25">
      <c r="A87" s="26">
        <v>44774</v>
      </c>
      <c r="B87" s="27" t="str">
        <f t="shared" si="1"/>
        <v>August</v>
      </c>
      <c r="C87" s="27" t="s">
        <v>8</v>
      </c>
      <c r="D87" s="27" t="s">
        <v>41</v>
      </c>
      <c r="E87" s="37">
        <v>208</v>
      </c>
    </row>
    <row r="88" spans="1:5" ht="15.75" x14ac:dyDescent="0.25">
      <c r="A88" s="26">
        <v>44789</v>
      </c>
      <c r="B88" s="27" t="str">
        <f t="shared" si="1"/>
        <v>August</v>
      </c>
      <c r="C88" s="27" t="s">
        <v>15</v>
      </c>
      <c r="D88" s="27" t="s">
        <v>62</v>
      </c>
      <c r="E88" s="37">
        <v>147</v>
      </c>
    </row>
    <row r="89" spans="1:5" ht="15.75" x14ac:dyDescent="0.25">
      <c r="A89" s="26">
        <v>44789</v>
      </c>
      <c r="B89" s="27" t="str">
        <f t="shared" si="1"/>
        <v>August</v>
      </c>
      <c r="C89" s="27" t="s">
        <v>17</v>
      </c>
      <c r="D89" s="27" t="s">
        <v>63</v>
      </c>
      <c r="E89" s="37">
        <v>149</v>
      </c>
    </row>
    <row r="90" spans="1:5" ht="15.75" x14ac:dyDescent="0.25">
      <c r="A90" s="26">
        <v>44789</v>
      </c>
      <c r="B90" s="27" t="str">
        <f t="shared" si="1"/>
        <v>August</v>
      </c>
      <c r="C90" s="27" t="s">
        <v>12</v>
      </c>
      <c r="D90" s="27" t="s">
        <v>46</v>
      </c>
      <c r="E90" s="37">
        <v>2300</v>
      </c>
    </row>
    <row r="91" spans="1:5" ht="15.75" x14ac:dyDescent="0.25">
      <c r="A91" s="26">
        <v>44801</v>
      </c>
      <c r="B91" s="27" t="str">
        <f t="shared" si="1"/>
        <v>August</v>
      </c>
      <c r="C91" s="27" t="s">
        <v>23</v>
      </c>
      <c r="D91" s="27" t="s">
        <v>37</v>
      </c>
      <c r="E91" s="37">
        <v>20000</v>
      </c>
    </row>
    <row r="92" spans="1:5" ht="15.75" x14ac:dyDescent="0.25">
      <c r="A92" s="26">
        <v>44801</v>
      </c>
      <c r="B92" s="27" t="str">
        <f t="shared" si="1"/>
        <v>August</v>
      </c>
      <c r="C92" s="27" t="s">
        <v>19</v>
      </c>
      <c r="D92" s="27" t="s">
        <v>53</v>
      </c>
      <c r="E92" s="37">
        <v>350</v>
      </c>
    </row>
    <row r="93" spans="1:5" ht="15.75" x14ac:dyDescent="0.25">
      <c r="A93" s="26">
        <v>44801</v>
      </c>
      <c r="B93" s="27" t="str">
        <f t="shared" si="1"/>
        <v>August</v>
      </c>
      <c r="C93" s="27" t="s">
        <v>10</v>
      </c>
      <c r="D93" s="27" t="s">
        <v>47</v>
      </c>
      <c r="E93" s="37">
        <v>570</v>
      </c>
    </row>
    <row r="94" spans="1:5" ht="17.25" customHeight="1" x14ac:dyDescent="0.25">
      <c r="A94" s="31">
        <v>45901</v>
      </c>
      <c r="B94" s="30" t="s">
        <v>5</v>
      </c>
      <c r="C94" s="27" t="s">
        <v>14</v>
      </c>
      <c r="D94" s="28" t="s">
        <v>39</v>
      </c>
      <c r="E94" s="37">
        <v>1250</v>
      </c>
    </row>
    <row r="95" spans="1:5" ht="15.75" x14ac:dyDescent="0.25">
      <c r="A95" s="31">
        <v>45901</v>
      </c>
      <c r="B95" s="30" t="s">
        <v>5</v>
      </c>
      <c r="C95" s="27" t="s">
        <v>6</v>
      </c>
      <c r="D95" s="28" t="s">
        <v>27</v>
      </c>
      <c r="E95" s="37">
        <v>52</v>
      </c>
    </row>
    <row r="96" spans="1:5" ht="15.75" x14ac:dyDescent="0.25">
      <c r="A96" s="31">
        <v>45901</v>
      </c>
      <c r="B96" s="30" t="s">
        <v>5</v>
      </c>
      <c r="C96" s="27" t="s">
        <v>21</v>
      </c>
      <c r="D96" s="28" t="s">
        <v>41</v>
      </c>
      <c r="E96" s="37">
        <v>208</v>
      </c>
    </row>
    <row r="97" spans="1:5" ht="15.75" x14ac:dyDescent="0.25">
      <c r="A97" s="31">
        <v>45916</v>
      </c>
      <c r="B97" s="30" t="s">
        <v>5</v>
      </c>
      <c r="C97" s="27" t="s">
        <v>15</v>
      </c>
      <c r="D97" s="28" t="s">
        <v>62</v>
      </c>
      <c r="E97" s="37">
        <v>147</v>
      </c>
    </row>
    <row r="98" spans="1:5" ht="15.75" x14ac:dyDescent="0.25">
      <c r="A98" s="31">
        <v>45916</v>
      </c>
      <c r="B98" s="30" t="s">
        <v>5</v>
      </c>
      <c r="C98" s="27" t="s">
        <v>17</v>
      </c>
      <c r="D98" s="28" t="s">
        <v>64</v>
      </c>
      <c r="E98" s="37">
        <v>149</v>
      </c>
    </row>
    <row r="99" spans="1:5" ht="26.25" customHeight="1" x14ac:dyDescent="0.25">
      <c r="A99" s="31">
        <v>45916</v>
      </c>
      <c r="B99" s="30" t="s">
        <v>5</v>
      </c>
      <c r="C99" s="27" t="s">
        <v>12</v>
      </c>
      <c r="D99" s="28" t="s">
        <v>46</v>
      </c>
      <c r="E99" s="37">
        <v>2300</v>
      </c>
    </row>
    <row r="100" spans="1:5" ht="15.75" x14ac:dyDescent="0.25">
      <c r="A100" s="31">
        <v>45928</v>
      </c>
      <c r="B100" s="30" t="s">
        <v>5</v>
      </c>
      <c r="C100" s="27" t="s">
        <v>23</v>
      </c>
      <c r="D100" s="28" t="s">
        <v>37</v>
      </c>
      <c r="E100" s="37">
        <v>20000</v>
      </c>
    </row>
    <row r="101" spans="1:5" ht="15.75" x14ac:dyDescent="0.25">
      <c r="A101" s="31">
        <v>45928</v>
      </c>
      <c r="B101" s="30" t="s">
        <v>5</v>
      </c>
      <c r="C101" s="27" t="s">
        <v>19</v>
      </c>
      <c r="D101" s="29" t="s">
        <v>77</v>
      </c>
      <c r="E101" s="37">
        <v>1000</v>
      </c>
    </row>
    <row r="102" spans="1:5" ht="15.75" x14ac:dyDescent="0.25">
      <c r="A102" s="31">
        <v>45901</v>
      </c>
      <c r="B102" s="30" t="s">
        <v>5</v>
      </c>
      <c r="C102" s="27" t="s">
        <v>8</v>
      </c>
      <c r="D102" s="28" t="s">
        <v>73</v>
      </c>
      <c r="E102" s="37">
        <v>500</v>
      </c>
    </row>
    <row r="103" spans="1:5" ht="15.75" x14ac:dyDescent="0.25">
      <c r="A103" s="31">
        <v>45928</v>
      </c>
      <c r="B103" s="30" t="s">
        <v>5</v>
      </c>
      <c r="C103" s="27" t="s">
        <v>10</v>
      </c>
      <c r="D103" s="28" t="s">
        <v>47</v>
      </c>
      <c r="E103" s="37">
        <v>780</v>
      </c>
    </row>
    <row r="104" spans="1:5" ht="15.75" x14ac:dyDescent="0.25">
      <c r="A104" s="31">
        <v>45931</v>
      </c>
      <c r="B104" s="32" t="s">
        <v>11</v>
      </c>
      <c r="C104" s="27" t="s">
        <v>14</v>
      </c>
      <c r="D104" s="27" t="s">
        <v>39</v>
      </c>
      <c r="E104" s="37">
        <v>1250</v>
      </c>
    </row>
    <row r="105" spans="1:5" ht="15.75" x14ac:dyDescent="0.25">
      <c r="A105" s="31">
        <v>45931</v>
      </c>
      <c r="B105" s="32" t="s">
        <v>11</v>
      </c>
      <c r="C105" s="27" t="s">
        <v>21</v>
      </c>
      <c r="D105" s="32" t="s">
        <v>65</v>
      </c>
      <c r="E105" s="37">
        <v>58</v>
      </c>
    </row>
    <row r="106" spans="1:5" ht="15.75" x14ac:dyDescent="0.25">
      <c r="A106" s="31">
        <v>45931</v>
      </c>
      <c r="B106" s="32" t="s">
        <v>11</v>
      </c>
      <c r="C106" s="27" t="s">
        <v>8</v>
      </c>
      <c r="D106" s="32" t="s">
        <v>66</v>
      </c>
      <c r="E106" s="37">
        <v>214</v>
      </c>
    </row>
    <row r="107" spans="1:5" ht="15.75" x14ac:dyDescent="0.25">
      <c r="A107" s="31">
        <v>45946</v>
      </c>
      <c r="B107" s="32" t="s">
        <v>11</v>
      </c>
      <c r="C107" s="27" t="s">
        <v>15</v>
      </c>
      <c r="D107" s="32" t="s">
        <v>67</v>
      </c>
      <c r="E107" s="37">
        <v>160</v>
      </c>
    </row>
    <row r="108" spans="1:5" ht="31.5" x14ac:dyDescent="0.25">
      <c r="A108" s="31">
        <v>45946</v>
      </c>
      <c r="B108" s="32" t="s">
        <v>11</v>
      </c>
      <c r="C108" s="27" t="s">
        <v>17</v>
      </c>
      <c r="D108" s="32" t="s">
        <v>68</v>
      </c>
      <c r="E108" s="37">
        <v>179</v>
      </c>
    </row>
    <row r="109" spans="1:5" ht="31.5" x14ac:dyDescent="0.25">
      <c r="A109" s="31">
        <v>45946</v>
      </c>
      <c r="B109" s="32" t="s">
        <v>11</v>
      </c>
      <c r="C109" s="27" t="s">
        <v>12</v>
      </c>
      <c r="D109" s="32" t="s">
        <v>69</v>
      </c>
      <c r="E109" s="37">
        <v>2800</v>
      </c>
    </row>
    <row r="110" spans="1:5" ht="31.5" x14ac:dyDescent="0.25">
      <c r="A110" s="31">
        <v>45958</v>
      </c>
      <c r="B110" s="32" t="s">
        <v>11</v>
      </c>
      <c r="C110" s="27" t="s">
        <v>23</v>
      </c>
      <c r="D110" s="32" t="s">
        <v>70</v>
      </c>
      <c r="E110" s="37">
        <v>20000</v>
      </c>
    </row>
    <row r="111" spans="1:5" ht="15.75" x14ac:dyDescent="0.25">
      <c r="A111" s="31">
        <v>45958</v>
      </c>
      <c r="B111" s="32" t="s">
        <v>11</v>
      </c>
      <c r="C111" s="27" t="s">
        <v>19</v>
      </c>
      <c r="D111" s="32" t="s">
        <v>71</v>
      </c>
      <c r="E111" s="37">
        <v>375</v>
      </c>
    </row>
    <row r="112" spans="1:5" ht="31.5" x14ac:dyDescent="0.25">
      <c r="A112" s="31">
        <v>45958</v>
      </c>
      <c r="B112" s="32" t="s">
        <v>11</v>
      </c>
      <c r="C112" s="27" t="s">
        <v>10</v>
      </c>
      <c r="D112" s="32" t="s">
        <v>72</v>
      </c>
      <c r="E112" s="37">
        <v>2000</v>
      </c>
    </row>
    <row r="113" spans="1:5" ht="15.75" x14ac:dyDescent="0.25">
      <c r="A113" s="33"/>
      <c r="B113" s="34"/>
      <c r="C113" s="27"/>
      <c r="D113" s="34"/>
      <c r="E113" s="35"/>
    </row>
    <row r="114" spans="1:5" ht="15.75" x14ac:dyDescent="0.25">
      <c r="A114" s="1"/>
      <c r="C114" s="27"/>
      <c r="E114" s="24"/>
    </row>
    <row r="115" spans="1:5" ht="15.75" x14ac:dyDescent="0.25">
      <c r="A115" s="1"/>
      <c r="C115" s="27"/>
      <c r="E115" s="24"/>
    </row>
    <row r="116" spans="1:5" ht="15.75" x14ac:dyDescent="0.25">
      <c r="A116" s="1"/>
      <c r="C116" s="27"/>
      <c r="E116" s="24"/>
    </row>
    <row r="117" spans="1:5" ht="15.75" x14ac:dyDescent="0.25">
      <c r="A117" s="1"/>
      <c r="C117" s="27"/>
      <c r="E117" s="24"/>
    </row>
    <row r="118" spans="1:5" ht="15.75" x14ac:dyDescent="0.25">
      <c r="A118" s="1"/>
      <c r="C118" s="27"/>
      <c r="E118" s="24"/>
    </row>
    <row r="119" spans="1:5" ht="15.75" x14ac:dyDescent="0.25">
      <c r="A119" s="1"/>
      <c r="C119" s="27"/>
      <c r="E119" s="24"/>
    </row>
    <row r="120" spans="1:5" ht="15.75" x14ac:dyDescent="0.25">
      <c r="A120" s="1"/>
      <c r="C120" s="27"/>
      <c r="E120" s="24"/>
    </row>
    <row r="121" spans="1:5" ht="15.75" x14ac:dyDescent="0.25">
      <c r="A121" s="1"/>
      <c r="C121" s="27"/>
      <c r="E121" s="24"/>
    </row>
    <row r="122" spans="1:5" ht="15.75" x14ac:dyDescent="0.25">
      <c r="A122" s="1"/>
      <c r="C122" s="27"/>
      <c r="E122" s="24"/>
    </row>
    <row r="123" spans="1:5" ht="15.75" x14ac:dyDescent="0.25">
      <c r="A123" s="1"/>
      <c r="C123" s="27"/>
      <c r="E123" s="24"/>
    </row>
    <row r="124" spans="1:5" ht="15.75" x14ac:dyDescent="0.25">
      <c r="A124" s="1"/>
      <c r="C124" s="27"/>
      <c r="E124" s="24"/>
    </row>
    <row r="125" spans="1:5" ht="15.75" x14ac:dyDescent="0.25">
      <c r="A125" s="1"/>
      <c r="C125" s="27"/>
      <c r="E125" s="24"/>
    </row>
    <row r="126" spans="1:5" ht="15.75" x14ac:dyDescent="0.25">
      <c r="A126" s="1"/>
      <c r="C126" s="27"/>
      <c r="E126" s="24"/>
    </row>
    <row r="127" spans="1:5" ht="15.75" x14ac:dyDescent="0.25">
      <c r="A127" s="1"/>
      <c r="C127" s="27"/>
      <c r="E127" s="24"/>
    </row>
    <row r="128" spans="1:5" ht="15.75" x14ac:dyDescent="0.25">
      <c r="A128" s="1"/>
      <c r="C128" s="27"/>
      <c r="E128" s="24"/>
    </row>
    <row r="129" spans="1:5" ht="15.75" x14ac:dyDescent="0.25">
      <c r="A129" s="1"/>
      <c r="C129" s="27"/>
      <c r="E129" s="24"/>
    </row>
    <row r="130" spans="1:5" ht="15.75" x14ac:dyDescent="0.25">
      <c r="A130" s="1"/>
      <c r="C130" s="27"/>
      <c r="E130" s="24"/>
    </row>
    <row r="131" spans="1:5" ht="15.75" x14ac:dyDescent="0.25">
      <c r="A131" s="1"/>
      <c r="C131" s="27"/>
      <c r="E131" s="24"/>
    </row>
    <row r="132" spans="1:5" ht="15.75" x14ac:dyDescent="0.25">
      <c r="A132" s="1"/>
      <c r="C132" s="27"/>
      <c r="E132" s="24"/>
    </row>
    <row r="133" spans="1:5" ht="15.75" x14ac:dyDescent="0.25">
      <c r="A133" s="1"/>
      <c r="C133" s="27"/>
      <c r="E133" s="24"/>
    </row>
    <row r="134" spans="1:5" ht="15.75" x14ac:dyDescent="0.25">
      <c r="A134" s="1"/>
      <c r="C134" s="27"/>
      <c r="E134" s="24"/>
    </row>
    <row r="135" spans="1:5" ht="15.75" x14ac:dyDescent="0.25">
      <c r="C135" s="27"/>
      <c r="E135" s="24"/>
    </row>
    <row r="136" spans="1:5" ht="15.75" x14ac:dyDescent="0.25">
      <c r="A136" s="1"/>
      <c r="C136" s="27"/>
      <c r="E136" s="24"/>
    </row>
    <row r="137" spans="1:5" ht="15.75" x14ac:dyDescent="0.25">
      <c r="A137" s="1"/>
      <c r="C137" s="27"/>
      <c r="E137" s="24"/>
    </row>
    <row r="138" spans="1:5" ht="15.75" x14ac:dyDescent="0.25">
      <c r="A138" s="1"/>
      <c r="C138" s="27"/>
      <c r="E138" s="24"/>
    </row>
    <row r="139" spans="1:5" ht="15.75" x14ac:dyDescent="0.25">
      <c r="A139" s="1"/>
      <c r="C139" s="27"/>
      <c r="E139" s="24"/>
    </row>
    <row r="140" spans="1:5" ht="15.75" x14ac:dyDescent="0.25">
      <c r="A140" s="1"/>
      <c r="C140" s="27"/>
      <c r="E140" s="24"/>
    </row>
    <row r="141" spans="1:5" ht="15.75" x14ac:dyDescent="0.25">
      <c r="A141" s="1"/>
      <c r="C141" s="27"/>
      <c r="E141" s="24"/>
    </row>
    <row r="142" spans="1:5" ht="15.75" x14ac:dyDescent="0.25">
      <c r="A142" s="1"/>
      <c r="C142" s="27"/>
      <c r="E142" s="24"/>
    </row>
    <row r="143" spans="1:5" ht="15.75" x14ac:dyDescent="0.25">
      <c r="A143" s="1"/>
      <c r="C143" s="27"/>
      <c r="E143" s="24"/>
    </row>
    <row r="144" spans="1:5" ht="15.75" x14ac:dyDescent="0.25">
      <c r="A144" s="1"/>
      <c r="C144" s="27"/>
      <c r="E144" s="24"/>
    </row>
    <row r="145" spans="1:5" ht="15.75" x14ac:dyDescent="0.25">
      <c r="A145" s="1"/>
      <c r="C145" s="27"/>
      <c r="E145" s="24"/>
    </row>
    <row r="146" spans="1:5" ht="15.75" x14ac:dyDescent="0.25">
      <c r="A146" s="1"/>
      <c r="C146" s="27"/>
      <c r="E146" s="24"/>
    </row>
    <row r="147" spans="1:5" ht="15.75" x14ac:dyDescent="0.25">
      <c r="A147" s="1"/>
      <c r="C147" s="27"/>
      <c r="E147" s="24"/>
    </row>
    <row r="148" spans="1:5" ht="15.75" x14ac:dyDescent="0.25">
      <c r="A148" s="1"/>
      <c r="C148" s="27"/>
      <c r="E148" s="24"/>
    </row>
    <row r="149" spans="1:5" ht="15.75" x14ac:dyDescent="0.25">
      <c r="A149" s="1"/>
      <c r="C149" s="27"/>
      <c r="E149" s="24"/>
    </row>
    <row r="150" spans="1:5" ht="15.75" x14ac:dyDescent="0.25">
      <c r="A150" s="1"/>
      <c r="C150" s="27"/>
      <c r="E150" s="24"/>
    </row>
    <row r="151" spans="1:5" ht="15.75" x14ac:dyDescent="0.25">
      <c r="A151" s="1"/>
      <c r="C151" s="27"/>
      <c r="E151" s="24"/>
    </row>
    <row r="152" spans="1:5" ht="15.75" x14ac:dyDescent="0.25">
      <c r="A152" s="1"/>
      <c r="C152" s="27"/>
      <c r="E152" s="24"/>
    </row>
    <row r="153" spans="1:5" ht="15.75" x14ac:dyDescent="0.25">
      <c r="A153" s="1"/>
      <c r="C153" s="27"/>
      <c r="E153" s="24"/>
    </row>
    <row r="154" spans="1:5" ht="15.75" x14ac:dyDescent="0.25">
      <c r="A154" s="1"/>
      <c r="C154" s="27"/>
      <c r="E154" s="24"/>
    </row>
    <row r="155" spans="1:5" ht="15.75" x14ac:dyDescent="0.25">
      <c r="A155" s="1"/>
      <c r="C155" s="27"/>
      <c r="E155" s="24"/>
    </row>
    <row r="156" spans="1:5" ht="15.75" x14ac:dyDescent="0.25">
      <c r="A156" s="1"/>
      <c r="C156" s="27"/>
      <c r="E156" s="24"/>
    </row>
    <row r="157" spans="1:5" ht="15.75" x14ac:dyDescent="0.25">
      <c r="A157" s="1"/>
      <c r="C157" s="27"/>
      <c r="E157" s="24"/>
    </row>
    <row r="158" spans="1:5" ht="15.75" x14ac:dyDescent="0.25">
      <c r="A158" s="1"/>
      <c r="C158" s="27"/>
      <c r="E158" s="24"/>
    </row>
    <row r="159" spans="1:5" ht="15.75" x14ac:dyDescent="0.25">
      <c r="A159" s="1"/>
      <c r="C159" s="27"/>
      <c r="E159" s="24"/>
    </row>
    <row r="160" spans="1:5" ht="15.75" x14ac:dyDescent="0.25">
      <c r="A160" s="1"/>
      <c r="C160" s="27"/>
      <c r="E160" s="24"/>
    </row>
    <row r="161" spans="1:5" ht="15.75" x14ac:dyDescent="0.25">
      <c r="A161" s="1"/>
      <c r="C161" s="27"/>
      <c r="E161" s="24"/>
    </row>
    <row r="162" spans="1:5" ht="15.75" x14ac:dyDescent="0.25">
      <c r="A162" s="1"/>
      <c r="C162" s="27"/>
      <c r="E162" s="24"/>
    </row>
    <row r="163" spans="1:5" ht="15.75" x14ac:dyDescent="0.25">
      <c r="A163" s="1"/>
      <c r="C163" s="27"/>
      <c r="E163" s="24"/>
    </row>
    <row r="164" spans="1:5" ht="15.75" x14ac:dyDescent="0.25">
      <c r="A164" s="1"/>
      <c r="C164" s="27"/>
      <c r="E164" s="24"/>
    </row>
    <row r="165" spans="1:5" ht="15.75" x14ac:dyDescent="0.25">
      <c r="A165" s="1"/>
      <c r="C165" s="27"/>
      <c r="E165" s="24"/>
    </row>
    <row r="166" spans="1:5" ht="15.75" x14ac:dyDescent="0.25">
      <c r="A166" s="1"/>
      <c r="C166" s="27"/>
      <c r="E166" s="24"/>
    </row>
    <row r="167" spans="1:5" ht="15.75" x14ac:dyDescent="0.25">
      <c r="A167" s="1"/>
      <c r="C167" s="27"/>
      <c r="E167" s="24"/>
    </row>
    <row r="168" spans="1:5" ht="15.75" x14ac:dyDescent="0.25">
      <c r="A168" s="1"/>
      <c r="C168" s="27"/>
      <c r="E168" s="24"/>
    </row>
    <row r="169" spans="1:5" ht="15.75" x14ac:dyDescent="0.25">
      <c r="A169" s="1"/>
      <c r="C169" s="27"/>
      <c r="E169" s="24"/>
    </row>
    <row r="170" spans="1:5" ht="15.75" x14ac:dyDescent="0.25">
      <c r="A170" s="1"/>
      <c r="C170" s="27"/>
      <c r="E170" s="24"/>
    </row>
    <row r="171" spans="1:5" ht="15.75" x14ac:dyDescent="0.25">
      <c r="A171" s="1"/>
      <c r="C171" s="27"/>
      <c r="E171" s="24"/>
    </row>
    <row r="172" spans="1:5" ht="15.75" x14ac:dyDescent="0.25">
      <c r="A172" s="1"/>
      <c r="C172" s="27"/>
      <c r="E172" s="24"/>
    </row>
    <row r="173" spans="1:5" ht="15.75" x14ac:dyDescent="0.25">
      <c r="A173" s="1"/>
      <c r="C173" s="27"/>
      <c r="E173" s="24"/>
    </row>
    <row r="174" spans="1:5" ht="15.75" x14ac:dyDescent="0.25">
      <c r="A174" s="1"/>
      <c r="C174" s="27"/>
      <c r="E174" s="24"/>
    </row>
    <row r="175" spans="1:5" ht="15.75" x14ac:dyDescent="0.25">
      <c r="A175" s="1"/>
      <c r="C175" s="27"/>
      <c r="E175" s="24"/>
    </row>
    <row r="176" spans="1:5" ht="15.75" x14ac:dyDescent="0.25">
      <c r="A176" s="1"/>
      <c r="C176" s="27"/>
      <c r="E176" s="24"/>
    </row>
    <row r="177" spans="1:5" ht="15.75" x14ac:dyDescent="0.25">
      <c r="A177" s="1"/>
      <c r="C177" s="27"/>
      <c r="E177" s="24"/>
    </row>
    <row r="178" spans="1:5" ht="15.75" x14ac:dyDescent="0.25">
      <c r="A178" s="1"/>
      <c r="C178" s="27"/>
      <c r="E178" s="24"/>
    </row>
    <row r="179" spans="1:5" ht="15.75" x14ac:dyDescent="0.25">
      <c r="A179" s="1"/>
      <c r="C179" s="27"/>
      <c r="E179" s="24"/>
    </row>
    <row r="180" spans="1:5" ht="15.75" x14ac:dyDescent="0.25">
      <c r="A180" s="1"/>
      <c r="C180" s="27"/>
      <c r="E180" s="24"/>
    </row>
    <row r="181" spans="1:5" ht="15.75" x14ac:dyDescent="0.25">
      <c r="A181" s="1"/>
      <c r="C181" s="27"/>
      <c r="E181" s="24"/>
    </row>
    <row r="182" spans="1:5" ht="15.75" x14ac:dyDescent="0.25">
      <c r="A182" s="1"/>
      <c r="C182" s="27"/>
      <c r="E182" s="24"/>
    </row>
    <row r="183" spans="1:5" ht="15.75" x14ac:dyDescent="0.25">
      <c r="A183" s="1"/>
      <c r="C183" s="27"/>
      <c r="E183" s="24"/>
    </row>
    <row r="184" spans="1:5" ht="15.75" x14ac:dyDescent="0.25">
      <c r="A184" s="1"/>
      <c r="C184" s="27"/>
      <c r="E184" s="24"/>
    </row>
    <row r="185" spans="1:5" ht="15.75" x14ac:dyDescent="0.25">
      <c r="A185" s="1"/>
      <c r="C185" s="27"/>
      <c r="E185" s="24"/>
    </row>
    <row r="186" spans="1:5" ht="15.75" x14ac:dyDescent="0.25">
      <c r="A186" s="1"/>
      <c r="C186" s="27"/>
      <c r="E186" s="24"/>
    </row>
    <row r="187" spans="1:5" ht="15.75" x14ac:dyDescent="0.25">
      <c r="A187" s="1"/>
      <c r="C187" s="27"/>
      <c r="E187" s="24"/>
    </row>
    <row r="188" spans="1:5" ht="15.75" x14ac:dyDescent="0.25">
      <c r="A188" s="1"/>
      <c r="C188" s="27"/>
      <c r="E188" s="24"/>
    </row>
    <row r="189" spans="1:5" ht="15.75" x14ac:dyDescent="0.25">
      <c r="A189" s="1"/>
      <c r="C189" s="27"/>
      <c r="E189" s="24"/>
    </row>
    <row r="190" spans="1:5" ht="15.75" x14ac:dyDescent="0.25">
      <c r="A190" s="1"/>
      <c r="C190" s="27"/>
      <c r="E190" s="24"/>
    </row>
    <row r="191" spans="1:5" ht="15.75" x14ac:dyDescent="0.25">
      <c r="A191" s="1"/>
      <c r="C191" s="27"/>
      <c r="E191" s="24"/>
    </row>
    <row r="192" spans="1:5" ht="15.75" x14ac:dyDescent="0.25">
      <c r="A192" s="1"/>
      <c r="C192" s="27"/>
      <c r="E192" s="24"/>
    </row>
    <row r="193" spans="1:5" ht="15.75" x14ac:dyDescent="0.25">
      <c r="A193" s="1"/>
      <c r="C193" s="27"/>
      <c r="E193" s="24"/>
    </row>
    <row r="194" spans="1:5" ht="15.75" x14ac:dyDescent="0.25">
      <c r="A194" s="1"/>
      <c r="C194" s="27"/>
      <c r="E194" s="24"/>
    </row>
    <row r="195" spans="1:5" ht="15.75" x14ac:dyDescent="0.25">
      <c r="A195" s="1"/>
      <c r="C195" s="27"/>
      <c r="E195" s="24"/>
    </row>
    <row r="196" spans="1:5" x14ac:dyDescent="0.25">
      <c r="A196" s="1"/>
      <c r="E196" s="24"/>
    </row>
    <row r="197" spans="1:5" x14ac:dyDescent="0.25">
      <c r="A197" s="1"/>
      <c r="E197" s="24"/>
    </row>
    <row r="198" spans="1:5" x14ac:dyDescent="0.25">
      <c r="A198" s="1"/>
      <c r="E198" s="24"/>
    </row>
    <row r="199" spans="1:5" x14ac:dyDescent="0.25">
      <c r="A199" s="1"/>
      <c r="E199" s="24"/>
    </row>
    <row r="200" spans="1:5" x14ac:dyDescent="0.25">
      <c r="A200" s="1"/>
      <c r="E200" s="24"/>
    </row>
    <row r="201" spans="1:5" x14ac:dyDescent="0.25">
      <c r="A201" s="1"/>
      <c r="E201" s="24"/>
    </row>
    <row r="202" spans="1:5" x14ac:dyDescent="0.25">
      <c r="A202" s="1"/>
      <c r="E202" s="24"/>
    </row>
    <row r="203" spans="1:5" x14ac:dyDescent="0.25">
      <c r="A203" s="25"/>
      <c r="E203" s="24"/>
    </row>
    <row r="204" spans="1:5" ht="15.75" x14ac:dyDescent="0.25">
      <c r="A204" s="48">
        <v>45685</v>
      </c>
      <c r="B204" s="27" t="s">
        <v>9</v>
      </c>
      <c r="C204" s="27" t="s">
        <v>19</v>
      </c>
      <c r="D204" s="29" t="s">
        <v>77</v>
      </c>
      <c r="E204" s="37">
        <v>1000</v>
      </c>
    </row>
    <row r="205" spans="1:5" ht="15.75" x14ac:dyDescent="0.25">
      <c r="A205" s="26">
        <v>44709</v>
      </c>
      <c r="B205" s="27" t="str">
        <f t="shared" ref="B205" si="2">TEXT(A205,"MMMM")</f>
        <v>May</v>
      </c>
      <c r="C205" s="27" t="s">
        <v>19</v>
      </c>
      <c r="D205" s="27" t="s">
        <v>78</v>
      </c>
      <c r="E205" s="37">
        <v>15000</v>
      </c>
    </row>
    <row r="206" spans="1:5" ht="15.75" x14ac:dyDescent="0.25">
      <c r="A206" s="1">
        <v>45958</v>
      </c>
      <c r="B206" s="32" t="s">
        <v>11</v>
      </c>
      <c r="C206" s="27" t="s">
        <v>6</v>
      </c>
      <c r="D206" s="27" t="s">
        <v>40</v>
      </c>
      <c r="E206" s="37">
        <v>400</v>
      </c>
    </row>
  </sheetData>
  <autoFilter ref="A1:E206"/>
  <dataValidations count="1">
    <dataValidation type="list" allowBlank="1" showErrorMessage="1" sqref="C2:C195 C204:C206">
      <formula1>$I$2:$I$11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9"/>
  <sheetViews>
    <sheetView showGridLines="0" tabSelected="1" topLeftCell="A7" zoomScale="69" zoomScaleNormal="69" workbookViewId="0">
      <selection activeCell="T12" sqref="T11:T12"/>
    </sheetView>
  </sheetViews>
  <sheetFormatPr defaultRowHeight="15" x14ac:dyDescent="0.25"/>
  <cols>
    <col min="2" max="2" width="17" customWidth="1"/>
    <col min="3" max="3" width="14.140625" customWidth="1"/>
    <col min="4" max="4" width="11.85546875" customWidth="1"/>
    <col min="5" max="5" width="9.42578125" customWidth="1"/>
    <col min="9" max="9" width="11.5703125" customWidth="1"/>
    <col min="10" max="10" width="14.7109375" customWidth="1"/>
    <col min="11" max="11" width="13.85546875" customWidth="1"/>
    <col min="12" max="12" width="12.7109375" customWidth="1"/>
    <col min="13" max="13" width="14.42578125" customWidth="1"/>
    <col min="14" max="14" width="13" customWidth="1"/>
    <col min="15" max="15" width="11.7109375" customWidth="1"/>
    <col min="16" max="16" width="12.42578125" customWidth="1"/>
    <col min="17" max="17" width="11" customWidth="1"/>
  </cols>
  <sheetData>
    <row r="1" spans="2:16" ht="15.75" thickBot="1" x14ac:dyDescent="0.3">
      <c r="B1" s="44" t="s">
        <v>38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2:16" ht="16.5" thickTop="1" thickBot="1" x14ac:dyDescent="0.3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2:16" ht="15.75" thickTop="1" x14ac:dyDescent="0.25"/>
    <row r="6" spans="2:16" ht="15.75" x14ac:dyDescent="0.25">
      <c r="B6" s="2" t="s">
        <v>28</v>
      </c>
      <c r="C6" s="3" t="s">
        <v>9</v>
      </c>
      <c r="D6" s="3" t="s">
        <v>18</v>
      </c>
      <c r="E6" s="3" t="s">
        <v>25</v>
      </c>
      <c r="F6" s="3" t="s">
        <v>16</v>
      </c>
      <c r="G6" s="3" t="s">
        <v>24</v>
      </c>
      <c r="H6" s="3" t="s">
        <v>22</v>
      </c>
      <c r="I6" s="3" t="s">
        <v>7</v>
      </c>
      <c r="J6" s="3" t="s">
        <v>20</v>
      </c>
      <c r="K6" s="3" t="s">
        <v>5</v>
      </c>
      <c r="L6" s="3" t="s">
        <v>11</v>
      </c>
      <c r="M6" s="3" t="s">
        <v>26</v>
      </c>
      <c r="N6" s="3" t="s">
        <v>13</v>
      </c>
      <c r="O6" s="52" t="s">
        <v>80</v>
      </c>
      <c r="P6" s="3" t="s">
        <v>29</v>
      </c>
    </row>
    <row r="7" spans="2:16" ht="15.75" x14ac:dyDescent="0.25">
      <c r="B7" s="4" t="s">
        <v>30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16" ht="15.75" x14ac:dyDescent="0.25">
      <c r="B8" s="6" t="s">
        <v>23</v>
      </c>
      <c r="C8" s="7">
        <f>SUMIFS(input!E:E, input!B:B,Dashboard!C6, input!C:C, Dashboard!B8)</f>
        <v>20000</v>
      </c>
      <c r="D8" s="7">
        <f>SUMIFS(input!$E:$E, input!$B:$B, Dashboard!C6, input!$C:$C, Dashboard!B8)</f>
        <v>20000</v>
      </c>
      <c r="E8" s="7">
        <f>SUMIFS(input!$E:$E, input!$B:$B, Dashboard!E6, input!$C:$C, Dashboard!B8)</f>
        <v>20000</v>
      </c>
      <c r="F8" s="7">
        <f>SUMIFS(input!$E:$E, input!$B:$B, Dashboard!F6, input!$C:$C, Dashboard!B8)</f>
        <v>20000</v>
      </c>
      <c r="G8" s="7">
        <f>SUMIFS(input!$E:$E, input!$B:$B, Dashboard!G6, input!$C:$C, Dashboard!B8)</f>
        <v>20000</v>
      </c>
      <c r="H8" s="7">
        <f>SUMIFS(input!$E:$E, input!$B:$B, Dashboard!H6, input!$C:$C, Dashboard!$B8)</f>
        <v>20000</v>
      </c>
      <c r="I8" s="7">
        <f>SUMIFS(input!$E:$E, input!$B:$B, Dashboard!I6, input!$C:$C, Dashboard!$B8)</f>
        <v>20000</v>
      </c>
      <c r="J8" s="7">
        <f>SUMIFS(input!$E:$E, input!$B:$B, Dashboard!J6, input!$C:$C, Dashboard!$B8)</f>
        <v>20000</v>
      </c>
      <c r="K8" s="7">
        <f>SUMIFS(input!$E:$E, input!$B:$B, Dashboard!K6, input!$C:$C, Dashboard!$B8)</f>
        <v>20000</v>
      </c>
      <c r="L8" s="7">
        <f>SUMIFS(input!$E:$E, input!$B:$B, Dashboard!L6, input!$C:$C, Dashboard!$B8)</f>
        <v>20000</v>
      </c>
      <c r="M8" s="7">
        <f>SUMIFS(input!$E:$E, input!$B:$B, Dashboard!M6, input!$C:$C, Dashboard!$B8)</f>
        <v>0</v>
      </c>
      <c r="N8" s="7">
        <f>SUMIFS(input!$E:$E, input!$B:$B, Dashboard!N6, input!$C:$C, Dashboard!$B8)</f>
        <v>0</v>
      </c>
      <c r="O8" s="7"/>
      <c r="P8" s="7">
        <f>SUM(C8:N8)</f>
        <v>200000</v>
      </c>
    </row>
    <row r="9" spans="2:16" ht="15.75" x14ac:dyDescent="0.25">
      <c r="B9" s="6" t="s">
        <v>12</v>
      </c>
      <c r="C9" s="7">
        <f>SUMIFS(input!E:E, input!B:B, Dashboard!C6, input!C:C, Dashboard!$B9)</f>
        <v>850</v>
      </c>
      <c r="D9" s="7">
        <f>SUMIFS(input!$E:$E,input!$B:$B,Dashboard!D6,input!$C:$C,Dashboard!$B9)</f>
        <v>1025</v>
      </c>
      <c r="E9" s="7">
        <f>SUMIFS(input!$E:$E,input!$B:$B,Dashboard!E6,input!$C:$C,Dashboard!$B9)</f>
        <v>999</v>
      </c>
      <c r="F9" s="7">
        <f>SUMIFS(input!$E:$E,input!$B:$B,Dashboard!F6,input!$C:$C,Dashboard!$B9)</f>
        <v>1243</v>
      </c>
      <c r="G9" s="7">
        <f>SUMIFS(input!$E:$E,input!$B:$B,Dashboard!G6,input!$C:$C,Dashboard!$B9)</f>
        <v>1450</v>
      </c>
      <c r="H9" s="7">
        <f>SUMIFS(input!$E:$E,input!$B:$B,Dashboard!H6,input!$C:$C,Dashboard!$B9)</f>
        <v>2232</v>
      </c>
      <c r="I9" s="7">
        <f>SUMIFS(input!$E:$E,input!$B:$B,Dashboard!I6,input!$C:$C,Dashboard!$B9)</f>
        <v>2231</v>
      </c>
      <c r="J9" s="7">
        <f>SUMIFS(input!$E:$E,input!$B:$B,Dashboard!J6,input!$C:$C,Dashboard!$B9)</f>
        <v>2300</v>
      </c>
      <c r="K9" s="7">
        <f>SUMIFS(input!$E:$E,input!$B:$B,Dashboard!K6,input!$C:$C,Dashboard!$B9)</f>
        <v>2300</v>
      </c>
      <c r="L9" s="7">
        <f>SUMIFS(input!$E:$E,input!$B:$B,Dashboard!L6,input!$C:$C,Dashboard!$B9)</f>
        <v>2800</v>
      </c>
      <c r="M9" s="7">
        <f>SUMIFS(input!$E:$E,input!$B:$B,Dashboard!M6,input!$C:$C,Dashboard!$B9)</f>
        <v>0</v>
      </c>
      <c r="N9" s="7">
        <f>SUMIFS(input!$E:$E,input!$B:$B,Dashboard!N6,input!$C:$C,Dashboard!$B9)</f>
        <v>0</v>
      </c>
      <c r="O9" s="7"/>
      <c r="P9" s="7">
        <f>SUM(C9:N9)</f>
        <v>17430</v>
      </c>
    </row>
    <row r="10" spans="2:16" ht="15.75" x14ac:dyDescent="0.25">
      <c r="B10" s="6" t="s">
        <v>10</v>
      </c>
      <c r="C10" s="7">
        <f>SUMIFS(input!$E:$E, input!$B:$B, Dashboard!C6, input!$C:$C, Dashboard!B10)</f>
        <v>500</v>
      </c>
      <c r="D10" s="7">
        <f>SUMIFS(input!$E:$E, input!$B:$B, Dashboard!D6, input!$C:$C, Dashboard!$B10)</f>
        <v>600</v>
      </c>
      <c r="E10" s="7">
        <f>SUMIFS(input!$E:$E, input!$B:$B, Dashboard!E6, input!$C:$C, Dashboard!$B10)</f>
        <v>1000</v>
      </c>
      <c r="F10" s="7">
        <f>SUMIFS(input!$E:$E, input!$B:$B, Dashboard!F6, input!$C:$C, Dashboard!$B10)</f>
        <v>1500</v>
      </c>
      <c r="G10" s="7">
        <f>SUMIFS(input!$E:$E, input!$B:$B, Dashboard!G6, input!$C:$C, Dashboard!$B10)</f>
        <v>1366</v>
      </c>
      <c r="H10" s="7">
        <f>SUMIFS(input!$E:$E, input!$B:$B, Dashboard!H6, input!$C:$C, Dashboard!$B10)</f>
        <v>199</v>
      </c>
      <c r="I10" s="7">
        <f>SUMIFS(input!$E:$E, input!$B:$B, Dashboard!I6, input!$C:$C, Dashboard!$B10)</f>
        <v>1500</v>
      </c>
      <c r="J10" s="7">
        <f>SUMIFS(input!$E:$E, input!$B:$B, Dashboard!J6, input!$C:$C, Dashboard!$B10)</f>
        <v>570</v>
      </c>
      <c r="K10" s="7">
        <f>SUMIFS(input!$E:$E, input!$B:$B, Dashboard!K6, input!$C:$C, Dashboard!$B10)</f>
        <v>780</v>
      </c>
      <c r="L10" s="7">
        <f>SUMIFS(input!$E:$E, input!$B:$B, Dashboard!L6, input!$C:$C, Dashboard!$B10)</f>
        <v>2000</v>
      </c>
      <c r="M10" s="7">
        <f>SUMIFS(input!$E:$E, input!$B:$B, Dashboard!M6, input!$C:$C, Dashboard!$B10)</f>
        <v>0</v>
      </c>
      <c r="N10" s="7">
        <f>SUMIFS(input!$E:$E, input!$B:$B, Dashboard!N6, input!$C:$C, Dashboard!$B10)</f>
        <v>0</v>
      </c>
      <c r="O10" s="53"/>
      <c r="P10" s="7">
        <f t="shared" ref="P10:P11" si="0">SUM(C10:N10)</f>
        <v>10015</v>
      </c>
    </row>
    <row r="11" spans="2:16" ht="15.75" x14ac:dyDescent="0.25">
      <c r="B11" s="6" t="s">
        <v>19</v>
      </c>
      <c r="C11" s="7">
        <f>SUMIFS(input!$E:$E, input!$B:$B, Dashboard!C6, input!$C:$C, Dashboard!$B11)</f>
        <v>1000</v>
      </c>
      <c r="D11" s="7">
        <f>SUMIFS(input!$E:$E, input!$B:$B, Dashboard!D6, input!$C:$C, Dashboard!$B11)</f>
        <v>1000</v>
      </c>
      <c r="E11" s="7">
        <f>SUMIFS(input!$E:$E, input!$B:$B, Dashboard!E6, input!$C:$C, Dashboard!$B11)</f>
        <v>299</v>
      </c>
      <c r="F11" s="7">
        <f>SUMIFS(input!$E:$E, input!$B:$B, Dashboard!F6, input!$C:$C, Dashboard!$B11)</f>
        <v>359</v>
      </c>
      <c r="G11" s="7">
        <f>SUMIFS(input!$E:$E, input!$B:$B, Dashboard!G6, input!$C:$C, Dashboard!$B11)</f>
        <v>15000</v>
      </c>
      <c r="H11" s="7">
        <f>SUMIFS(input!$E:$E, input!$B:$B, Dashboard!H6, input!$C:$C, Dashboard!$B11)</f>
        <v>1000</v>
      </c>
      <c r="I11" s="7">
        <f>SUMIFS(input!$E:$E, input!$B:$B, Dashboard!I6, input!$C:$C, Dashboard!$B11)</f>
        <v>215</v>
      </c>
      <c r="J11" s="7">
        <f>SUMIFS(input!$E:$E, input!$B:$B, Dashboard!J6, input!$C:$C, Dashboard!$B11)</f>
        <v>350</v>
      </c>
      <c r="K11" s="7">
        <f>SUMIFS(input!$E:$E, input!$B:$B, Dashboard!K6, input!$C:$C, Dashboard!$B11)</f>
        <v>1000</v>
      </c>
      <c r="L11" s="7">
        <f>SUMIFS(input!$E:$E, input!$B:$B, Dashboard!L6, input!$C:$C, Dashboard!$B11)</f>
        <v>375</v>
      </c>
      <c r="M11" s="7">
        <f>SUMIFS(input!$E:$E, input!$B:$B, Dashboard!M6, input!$C:$C, Dashboard!$B11)</f>
        <v>0</v>
      </c>
      <c r="N11" s="7">
        <f>SUMIFS(input!$E:$E, input!$B:$B, Dashboard!N6, input!$C:$C, Dashboard!$B11)</f>
        <v>0</v>
      </c>
      <c r="O11" s="53"/>
      <c r="P11" s="7">
        <f t="shared" si="0"/>
        <v>20598</v>
      </c>
    </row>
    <row r="12" spans="2:16" ht="15.75" x14ac:dyDescent="0.25">
      <c r="B12" s="38" t="s">
        <v>31</v>
      </c>
      <c r="C12" s="39">
        <f t="shared" ref="C12:N12" si="1">SUM(C8:C11)</f>
        <v>22350</v>
      </c>
      <c r="D12" s="39">
        <f t="shared" si="1"/>
        <v>22625</v>
      </c>
      <c r="E12" s="39">
        <f t="shared" si="1"/>
        <v>22298</v>
      </c>
      <c r="F12" s="39">
        <f t="shared" si="1"/>
        <v>23102</v>
      </c>
      <c r="G12" s="39">
        <f t="shared" si="1"/>
        <v>37816</v>
      </c>
      <c r="H12" s="39">
        <f t="shared" si="1"/>
        <v>23431</v>
      </c>
      <c r="I12" s="39">
        <f t="shared" si="1"/>
        <v>23946</v>
      </c>
      <c r="J12" s="39">
        <f t="shared" si="1"/>
        <v>23220</v>
      </c>
      <c r="K12" s="39">
        <f t="shared" si="1"/>
        <v>24080</v>
      </c>
      <c r="L12" s="39">
        <f t="shared" si="1"/>
        <v>25175</v>
      </c>
      <c r="M12" s="39">
        <f t="shared" si="1"/>
        <v>0</v>
      </c>
      <c r="N12" s="39">
        <f t="shared" si="1"/>
        <v>0</v>
      </c>
      <c r="O12" s="54"/>
      <c r="P12" s="39">
        <f>SUM(C12:N12)</f>
        <v>248043</v>
      </c>
    </row>
    <row r="13" spans="2:16" ht="15.75" x14ac:dyDescent="0.25">
      <c r="B13" s="40" t="s">
        <v>32</v>
      </c>
      <c r="C13" s="64">
        <f>IF(C12=0, "", D12/C12 - 1)</f>
        <v>1.230425055928408E-2</v>
      </c>
      <c r="D13" s="43">
        <f>IF(C12=0, "", D12/C12 - 1)</f>
        <v>1.230425055928408E-2</v>
      </c>
      <c r="E13" s="43">
        <f>IF(D12=0, "", E12/D12 - 1)</f>
        <v>-1.4453038674033136E-2</v>
      </c>
      <c r="F13" s="43">
        <f t="shared" ref="F13:N13" si="2">IF(E12=0, "", F12/E12 - 1)</f>
        <v>3.6057045474930494E-2</v>
      </c>
      <c r="G13" s="43">
        <f t="shared" si="2"/>
        <v>0.63691455285256682</v>
      </c>
      <c r="H13" s="43">
        <f t="shared" si="2"/>
        <v>-0.38039454199280731</v>
      </c>
      <c r="I13" s="43">
        <f t="shared" si="2"/>
        <v>2.1979428961631964E-2</v>
      </c>
      <c r="J13" s="43">
        <f t="shared" si="2"/>
        <v>-3.03182159859684E-2</v>
      </c>
      <c r="K13" s="43">
        <f t="shared" si="2"/>
        <v>3.7037037037036979E-2</v>
      </c>
      <c r="L13" s="43">
        <f t="shared" si="2"/>
        <v>4.5473421926910396E-2</v>
      </c>
      <c r="M13" s="43">
        <f>IF(L12=0, "", M12/L12 - 1)</f>
        <v>-1</v>
      </c>
      <c r="N13" s="43" t="str">
        <f t="shared" si="2"/>
        <v/>
      </c>
      <c r="O13" s="55"/>
      <c r="P13" s="41"/>
    </row>
    <row r="14" spans="2:16" ht="15.75" x14ac:dyDescent="0.25">
      <c r="B14" s="14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56"/>
      <c r="P14" s="10"/>
    </row>
    <row r="15" spans="2:16" ht="15.75" x14ac:dyDescent="0.25">
      <c r="B15" s="4" t="s">
        <v>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0"/>
    </row>
    <row r="16" spans="2:16" ht="15.75" x14ac:dyDescent="0.25">
      <c r="B16" s="6" t="s">
        <v>14</v>
      </c>
      <c r="C16" s="7">
        <f>SUMIFS(input!E:E, input!B:B,Dashboard!C6, input!C:C, Dashboard!B16)</f>
        <v>1250</v>
      </c>
      <c r="D16" s="7">
        <f>SUMIFS(input!$E:$E, input!$B:$B, Dashboard!D6, input!$C:$C, Dashboard!B16)</f>
        <v>1250</v>
      </c>
      <c r="E16" s="7">
        <f>SUMIFS(input!$E:$E, input!$B:$B, Dashboard!E6, input!$C:$C, Dashboard!$B16)</f>
        <v>1250</v>
      </c>
      <c r="F16" s="7">
        <f>SUMIFS(input!$E:$E, input!$B:$B, Dashboard!F6, input!$C:$C, Dashboard!$B16)</f>
        <v>1250</v>
      </c>
      <c r="G16" s="7">
        <f>SUMIFS(input!$E:$E, input!$B:$B, Dashboard!G6, input!$C:$C, Dashboard!$B16)</f>
        <v>1250</v>
      </c>
      <c r="H16" s="7">
        <f>SUMIFS(input!$E:$E, input!$B:$B, Dashboard!H6, input!$C:$C, Dashboard!$B16)</f>
        <v>1250</v>
      </c>
      <c r="I16" s="7">
        <f>SUMIFS(input!$E:$E, input!$B:$B, Dashboard!I6, input!$C:$C, Dashboard!$B16)</f>
        <v>1250</v>
      </c>
      <c r="J16" s="7">
        <f>SUMIFS(input!$E:$E, input!$B:$B, Dashboard!J6, input!$C:$C, Dashboard!$B16)</f>
        <v>1250</v>
      </c>
      <c r="K16" s="7">
        <f>SUMIFS(input!$E:$E, input!$B:$B, Dashboard!K6, input!$C:$C, Dashboard!$B16)</f>
        <v>1250</v>
      </c>
      <c r="L16" s="7">
        <f>SUMIFS(input!$E:$E,input!$B:$B,Dashboard!L6,input!$C:$C,Dashboard!$B16)</f>
        <v>1250</v>
      </c>
      <c r="M16" s="7">
        <f>SUMIFS(input!$E:$E, input!$B:$B, Dashboard!M6, input!$C:$C, Dashboard!$B16)</f>
        <v>0</v>
      </c>
      <c r="N16" s="7">
        <f>SUMIFS(input!$E:$E, input!$B:$B, Dashboard!N6, input!$C:$C, Dashboard!$B16)</f>
        <v>0</v>
      </c>
      <c r="O16" s="7"/>
      <c r="P16" s="7">
        <f>SUM(C16:N16)</f>
        <v>12500</v>
      </c>
    </row>
    <row r="17" spans="2:16" ht="15.75" x14ac:dyDescent="0.25">
      <c r="B17" s="6" t="s">
        <v>6</v>
      </c>
      <c r="C17" s="7">
        <f>SUMIFS(input!$E:$E, input!$B:$B, Dashboard!C6, input!$C:$C, Dashboard!$B17)</f>
        <v>140</v>
      </c>
      <c r="D17" s="7">
        <f>SUMIFS(input!$E:$E, input!$B:$B, Dashboard!D6, input!$C:$C, Dashboard!$B17)</f>
        <v>105</v>
      </c>
      <c r="E17" s="7">
        <f>SUMIFS(input!$E:$E, input!$B:$B, Dashboard!E6, input!$C:$C, Dashboard!$B17)</f>
        <v>110</v>
      </c>
      <c r="F17" s="7">
        <f>SUMIFS(input!$E:$E, input!$B:$B, Dashboard!F6, input!$C:$C, Dashboard!$B17)</f>
        <v>140</v>
      </c>
      <c r="G17" s="7">
        <f>SUMIFS(input!$E:$E, input!$B:$B, Dashboard!G6, input!$C:$C, Dashboard!$B17)</f>
        <v>152</v>
      </c>
      <c r="H17" s="7">
        <f>SUMIFS(input!$E:$E, input!$B:$B, Dashboard!H6, input!$C:$C, Dashboard!$B17)</f>
        <v>152</v>
      </c>
      <c r="I17" s="7">
        <f>SUMIFS(input!$E:$E, input!$B:$B, Dashboard!I6, input!$C:$C, Dashboard!$B17)</f>
        <v>110</v>
      </c>
      <c r="J17" s="7">
        <f>SUMIFS(input!$E:$E, input!$B:$B, Dashboard!J6, input!$C:$C, Dashboard!$B17)</f>
        <v>110</v>
      </c>
      <c r="K17" s="7">
        <f>SUMIFS(input!$E:$E, input!$B:$B, Dashboard!K6, input!$C:$C, Dashboard!$B17)</f>
        <v>52</v>
      </c>
      <c r="L17" s="7">
        <f>SUMIFS(input!$E:$E, input!$B:$B, Dashboard!L6, input!$C:$C, Dashboard!$B17)</f>
        <v>400</v>
      </c>
      <c r="M17" s="7">
        <f>SUMIFS(input!$E:$E, input!$B:$B, Dashboard!M6, input!$C:$C, Dashboard!$B17)</f>
        <v>0</v>
      </c>
      <c r="N17" s="7">
        <f>SUMIFS(input!$E:$E, input!$B:$B, Dashboard!N6, input!$C:$C, Dashboard!$B17)</f>
        <v>0</v>
      </c>
      <c r="O17" s="7"/>
      <c r="P17" s="7">
        <f t="shared" ref="P17:P21" si="3">SUM(C17:N17)</f>
        <v>1471</v>
      </c>
    </row>
    <row r="18" spans="2:16" ht="15.75" x14ac:dyDescent="0.25">
      <c r="B18" s="6" t="s">
        <v>21</v>
      </c>
      <c r="C18" s="7">
        <f>SUMIFS(input!$E:$E, input!$B:$B, Dashboard!C6, input!$C:$C, Dashboard!$B18)</f>
        <v>52</v>
      </c>
      <c r="D18" s="7">
        <f>SUMIFS(input!$E:$E, input!$B:$B, Dashboard!D6, input!$C:$C, Dashboard!$B18)</f>
        <v>200</v>
      </c>
      <c r="E18" s="7">
        <f>SUMIFS(input!$E:$E, input!$B:$B, Dashboard!E6, input!$C:$C, Dashboard!$B18)</f>
        <v>120</v>
      </c>
      <c r="F18" s="7">
        <f>SUMIFS(input!$E:$E, input!$B:$B, Dashboard!F6, input!$C:$C, Dashboard!$B18)</f>
        <v>190</v>
      </c>
      <c r="G18" s="7">
        <f>SUMIFS(input!$E:$E, input!$B:$B, Dashboard!G6, input!$C:$C, Dashboard!$B18)</f>
        <v>150</v>
      </c>
      <c r="H18" s="7">
        <f>SUMIFS(input!$E:$E, input!$B:$B, Dashboard!H6, input!$C:$C, Dashboard!$B18)</f>
        <v>52</v>
      </c>
      <c r="I18" s="7">
        <f>SUMIFS(input!$E:$E, input!$B:$B, Dashboard!I6, input!$C:$C, Dashboard!$B18)</f>
        <v>123</v>
      </c>
      <c r="J18" s="7">
        <f>SUMIFS(input!$E:$E, input!$B:$B, Dashboard!J6, input!$C:$C, Dashboard!$B18)</f>
        <v>99</v>
      </c>
      <c r="K18" s="7">
        <f>SUMIFS(input!$E:$E, input!$B:$B, Dashboard!K6, input!$C:$C, Dashboard!$B18)</f>
        <v>208</v>
      </c>
      <c r="L18" s="7">
        <f>SUMIFS(input!$E:$E, input!$B:$B, Dashboard!L6, input!$C:$C, Dashboard!$B18)</f>
        <v>58</v>
      </c>
      <c r="M18" s="7">
        <f>SUMIFS(input!$E:$E, input!$B:$B, Dashboard!M6, input!$C:$C, Dashboard!$B18)</f>
        <v>0</v>
      </c>
      <c r="N18" s="7">
        <f>SUMIFS(input!$E:$E, input!$B:$B, Dashboard!N6, input!$C:$C, Dashboard!$B18)</f>
        <v>0</v>
      </c>
      <c r="O18" s="7"/>
      <c r="P18" s="7">
        <f t="shared" si="3"/>
        <v>1252</v>
      </c>
    </row>
    <row r="19" spans="2:16" ht="15.75" x14ac:dyDescent="0.25">
      <c r="B19" s="6" t="s">
        <v>8</v>
      </c>
      <c r="C19" s="7">
        <f>SUMIFS(input!$E:$E, input!$B:$B, Dashboard!C6, input!$C:$C, Dashboard!$B19)</f>
        <v>449</v>
      </c>
      <c r="D19" s="7">
        <f>SUMIFS(input!$E:$E, input!$B:$B, Dashboard!D6, input!$C:$C, Dashboard!$B19)</f>
        <v>305</v>
      </c>
      <c r="E19" s="7">
        <f>SUMIFS(input!$E:$E, input!$B:$B, Dashboard!E6, input!$C:$C, Dashboard!$B19)</f>
        <v>208</v>
      </c>
      <c r="F19" s="7">
        <f>SUMIFS(input!$E:$E, input!$B:$B, Dashboard!F6, input!$C:$C, Dashboard!$B19)</f>
        <v>449</v>
      </c>
      <c r="G19" s="7">
        <f>SUMIFS(input!$E:$E, input!$B:$B, Dashboard!G6, input!$C:$C, Dashboard!$B19)</f>
        <v>449</v>
      </c>
      <c r="H19" s="7">
        <f>SUMIFS(input!$E:$E, input!$B:$B, Dashboard!H6, input!$C:$C, Dashboard!$B19)</f>
        <v>560</v>
      </c>
      <c r="I19" s="7">
        <f>SUMIFS(input!$E:$E, input!$B:$B, Dashboard!I6, input!$C:$C, Dashboard!$B19)</f>
        <v>208</v>
      </c>
      <c r="J19" s="7">
        <f>SUMIFS(input!$E:$E, input!$B:$B, Dashboard!J6, input!$C:$C, Dashboard!$B19)</f>
        <v>208</v>
      </c>
      <c r="K19" s="7">
        <f>SUMIFS(input!$E:$E, input!$B:$B, Dashboard!K6, input!$C:$C, Dashboard!$B19)</f>
        <v>500</v>
      </c>
      <c r="L19" s="7">
        <f>SUMIFS(input!$E:$E, input!$B:$B, Dashboard!L6, input!$C:$C, Dashboard!$B19)</f>
        <v>214</v>
      </c>
      <c r="M19" s="7">
        <f>SUMIFS(input!$E:$E, input!$B:$B, Dashboard!M6, input!$C:$C, Dashboard!$B19)</f>
        <v>0</v>
      </c>
      <c r="N19" s="7">
        <f>SUMIFS(input!$E:$E, input!$B:$B, Dashboard!N6, input!$C:$C, Dashboard!$B19)</f>
        <v>0</v>
      </c>
      <c r="O19" s="7"/>
      <c r="P19" s="7">
        <f t="shared" si="3"/>
        <v>3550</v>
      </c>
    </row>
    <row r="20" spans="2:16" ht="15.75" x14ac:dyDescent="0.25">
      <c r="B20" s="6" t="s">
        <v>15</v>
      </c>
      <c r="C20" s="7">
        <f>SUMIFS(input!$E:$E, input!$B:$B, Dashboard!C6, input!$C:$C, Dashboard!$B20)</f>
        <v>562</v>
      </c>
      <c r="D20" s="7">
        <f>SUMIFS(input!$E:$E, input!$B:$B, Dashboard!D6, input!$C:$C, Dashboard!$B20)</f>
        <v>194</v>
      </c>
      <c r="E20" s="7">
        <f>SUMIFS(input!$E:$E, input!$B:$B, Dashboard!E6, input!$C:$C, Dashboard!$B20)</f>
        <v>405</v>
      </c>
      <c r="F20" s="7">
        <f>SUMIFS(input!$E:$E, input!$B:$B, Dashboard!F6, input!$C:$C, Dashboard!$B20)</f>
        <v>713</v>
      </c>
      <c r="G20" s="7">
        <f>SUMIFS(input!$E:$E, input!$B:$B, Dashboard!G6, input!$C:$C, Dashboard!$B20)</f>
        <v>646</v>
      </c>
      <c r="H20" s="7">
        <f>SUMIFS(input!$E:$E, input!$B:$B, Dashboard!H6, input!$C:$C, Dashboard!$B20)</f>
        <v>629</v>
      </c>
      <c r="I20" s="7">
        <f>SUMIFS(input!$E:$E, input!$B:$B, Dashboard!I6, input!$C:$C, Dashboard!$B20)</f>
        <v>275</v>
      </c>
      <c r="J20" s="7">
        <f>SUMIFS(input!$E:$E, input!$B:$B, Dashboard!J6, input!$C:$C, Dashboard!$B20)</f>
        <v>147</v>
      </c>
      <c r="K20" s="7">
        <f>SUMIFS(input!$E:$E, input!$B:$B, Dashboard!K6, input!$C:$C, Dashboard!$B20)</f>
        <v>147</v>
      </c>
      <c r="L20" s="7">
        <f>SUMIFS(input!$E:$E, input!$B:$B, Dashboard!L6, input!$C:$C, Dashboard!$B20)</f>
        <v>160</v>
      </c>
      <c r="M20" s="7">
        <f>SUMIFS(input!$E:$E, input!$B:$B, Dashboard!M6, input!$C:$C, Dashboard!$B20)</f>
        <v>0</v>
      </c>
      <c r="N20" s="7">
        <f>SUMIFS(input!$E:$E, input!$B:$B, Dashboard!N6, input!$C:$C, Dashboard!$B20)</f>
        <v>0</v>
      </c>
      <c r="O20" s="7"/>
      <c r="P20" s="7">
        <f t="shared" si="3"/>
        <v>3878</v>
      </c>
    </row>
    <row r="21" spans="2:16" ht="15.75" x14ac:dyDescent="0.25">
      <c r="B21" s="6" t="s">
        <v>17</v>
      </c>
      <c r="C21" s="36">
        <f>SUMIFS(input!$E:$E, input!$B:$B, Dashboard!C6, input!$C:$C, Dashboard!$B21)</f>
        <v>249</v>
      </c>
      <c r="D21" s="36">
        <f>SUMIFS(input!$E:$E, input!$B:$B, Dashboard!D6, input!$C:$C, Dashboard!$B21)</f>
        <v>18</v>
      </c>
      <c r="E21" s="36">
        <f>SUMIFS(input!$E:$E, input!$B:$B, Dashboard!E6, input!$C:$C, Dashboard!$B21)</f>
        <v>199</v>
      </c>
      <c r="F21" s="36">
        <f>SUMIFS(input!$E:$E, input!$B:$B, Dashboard!F6, input!$C:$C, Dashboard!$B21)</f>
        <v>249</v>
      </c>
      <c r="G21" s="36">
        <f>SUMIFS(input!$E:$E, input!$B:$B, Dashboard!G6, input!$C:$C, Dashboard!$B21)</f>
        <v>249</v>
      </c>
      <c r="H21" s="36">
        <f>SUMIFS(input!$E:$E, input!$B:$B, Dashboard!H6, input!$C:$C, Dashboard!$B21)</f>
        <v>500</v>
      </c>
      <c r="I21" s="36">
        <f>SUMIFS(input!$E:$E, input!$B:$B, Dashboard!I6, input!$C:$C, Dashboard!$B21)</f>
        <v>399</v>
      </c>
      <c r="J21" s="36">
        <f>SUMIFS(input!$E:$E, input!$B:$B, Dashboard!J6, input!$C:$C, Dashboard!$B21)</f>
        <v>149</v>
      </c>
      <c r="K21" s="36">
        <f>SUMIFS(input!$E:$E, input!$B:$B, Dashboard!K6, input!$C:$C, Dashboard!$B21)</f>
        <v>149</v>
      </c>
      <c r="L21" s="36">
        <f>SUMIFS(input!$E:$E, input!$B:$B, Dashboard!L6, input!$C:$C, Dashboard!$B21)</f>
        <v>179</v>
      </c>
      <c r="M21" s="36">
        <f>SUMIFS(input!$E:$E, input!$B:$B, Dashboard!M6, input!$C:$C, Dashboard!$B21)</f>
        <v>0</v>
      </c>
      <c r="N21" s="36">
        <f>SUMIFS(input!$E:$E, input!$B:$B, Dashboard!N6, input!$C:$C, Dashboard!$B21)</f>
        <v>0</v>
      </c>
      <c r="O21" s="57"/>
      <c r="P21" s="7">
        <f t="shared" si="3"/>
        <v>2340</v>
      </c>
    </row>
    <row r="22" spans="2:16" ht="15.75" x14ac:dyDescent="0.25">
      <c r="B22" s="8" t="s">
        <v>34</v>
      </c>
      <c r="C22" s="9">
        <f t="shared" ref="C22:N22" si="4">SUM(C16:C21)</f>
        <v>2702</v>
      </c>
      <c r="D22" s="9">
        <f t="shared" si="4"/>
        <v>2072</v>
      </c>
      <c r="E22" s="9">
        <f t="shared" si="4"/>
        <v>2292</v>
      </c>
      <c r="F22" s="9">
        <f t="shared" si="4"/>
        <v>2991</v>
      </c>
      <c r="G22" s="9">
        <f t="shared" si="4"/>
        <v>2896</v>
      </c>
      <c r="H22" s="9">
        <f t="shared" si="4"/>
        <v>3143</v>
      </c>
      <c r="I22" s="9">
        <f t="shared" si="4"/>
        <v>2365</v>
      </c>
      <c r="J22" s="9">
        <f t="shared" si="4"/>
        <v>1963</v>
      </c>
      <c r="K22" s="9">
        <f t="shared" si="4"/>
        <v>2306</v>
      </c>
      <c r="L22" s="9">
        <f t="shared" si="4"/>
        <v>2261</v>
      </c>
      <c r="M22" s="9">
        <f t="shared" si="4"/>
        <v>0</v>
      </c>
      <c r="N22" s="9">
        <f t="shared" si="4"/>
        <v>0</v>
      </c>
      <c r="O22" s="54"/>
      <c r="P22" s="9">
        <f>SUM(C22:N22)</f>
        <v>24991</v>
      </c>
    </row>
    <row r="23" spans="2:16" ht="15.75" x14ac:dyDescent="0.25">
      <c r="B23" s="11" t="s">
        <v>32</v>
      </c>
      <c r="C23" s="12">
        <v>0</v>
      </c>
      <c r="D23" s="42">
        <f>D22/C22-1</f>
        <v>-0.23316062176165808</v>
      </c>
      <c r="E23" s="42">
        <f t="shared" ref="E23:L23" si="5">E22/D22-1</f>
        <v>0.10617760617760608</v>
      </c>
      <c r="F23" s="42">
        <f t="shared" si="5"/>
        <v>0.30497382198952883</v>
      </c>
      <c r="G23" s="42">
        <f t="shared" si="5"/>
        <v>-3.1761952524239412E-2</v>
      </c>
      <c r="H23" s="42">
        <f t="shared" si="5"/>
        <v>8.5290055248618879E-2</v>
      </c>
      <c r="I23" s="42">
        <f t="shared" si="5"/>
        <v>-0.24753420299077311</v>
      </c>
      <c r="J23" s="42">
        <f t="shared" si="5"/>
        <v>-0.16997885835095139</v>
      </c>
      <c r="K23" s="42">
        <f t="shared" si="5"/>
        <v>0.17473255221599593</v>
      </c>
      <c r="L23" s="42">
        <f t="shared" si="5"/>
        <v>-1.9514310494362586E-2</v>
      </c>
      <c r="M23" s="42">
        <v>-1</v>
      </c>
      <c r="N23" s="49">
        <f>--D14</f>
        <v>0</v>
      </c>
      <c r="O23" s="58"/>
      <c r="P23" s="13"/>
    </row>
    <row r="24" spans="2:16" ht="15.75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9"/>
      <c r="P24" s="15"/>
    </row>
    <row r="25" spans="2:16" ht="15.75" x14ac:dyDescent="0.25">
      <c r="B25" s="16" t="s">
        <v>35</v>
      </c>
      <c r="C25" s="17">
        <f>C12-C22</f>
        <v>19648</v>
      </c>
      <c r="D25" s="17">
        <f t="shared" ref="D25:N25" si="6">D12-D22</f>
        <v>20553</v>
      </c>
      <c r="E25" s="17">
        <f t="shared" si="6"/>
        <v>20006</v>
      </c>
      <c r="F25" s="17">
        <f t="shared" si="6"/>
        <v>20111</v>
      </c>
      <c r="G25" s="17">
        <f t="shared" si="6"/>
        <v>34920</v>
      </c>
      <c r="H25" s="17">
        <f t="shared" si="6"/>
        <v>20288</v>
      </c>
      <c r="I25" s="17">
        <f t="shared" si="6"/>
        <v>21581</v>
      </c>
      <c r="J25" s="17">
        <f t="shared" si="6"/>
        <v>21257</v>
      </c>
      <c r="K25" s="17">
        <f t="shared" si="6"/>
        <v>21774</v>
      </c>
      <c r="L25" s="17">
        <f t="shared" si="6"/>
        <v>22914</v>
      </c>
      <c r="M25" s="17">
        <f t="shared" si="6"/>
        <v>0</v>
      </c>
      <c r="N25" s="17">
        <f t="shared" si="6"/>
        <v>0</v>
      </c>
      <c r="O25" s="60"/>
      <c r="P25" s="17">
        <f>SUM(C25:N25)</f>
        <v>223052</v>
      </c>
    </row>
    <row r="26" spans="2:16" ht="15.75" x14ac:dyDescent="0.25">
      <c r="B26" s="18" t="s">
        <v>32</v>
      </c>
      <c r="C26" s="19">
        <f>IF(C25=0, "", D25/C25 - 1)</f>
        <v>4.6060667752443107E-2</v>
      </c>
      <c r="D26" s="46">
        <f xml:space="preserve"> D25/C25-1</f>
        <v>4.6060667752443107E-2</v>
      </c>
      <c r="E26" s="47">
        <f>E25/D25-1</f>
        <v>-2.6614119593246777E-2</v>
      </c>
      <c r="F26" s="47">
        <f t="shared" ref="F26:L26" si="7">F25/E25-1</f>
        <v>5.2484254723583756E-3</v>
      </c>
      <c r="G26" s="47">
        <f t="shared" si="7"/>
        <v>0.73636318432698533</v>
      </c>
      <c r="H26" s="47">
        <f t="shared" si="7"/>
        <v>-0.41901489117983959</v>
      </c>
      <c r="I26" s="47">
        <f t="shared" si="7"/>
        <v>6.3732255520504655E-2</v>
      </c>
      <c r="J26" s="47">
        <f t="shared" si="7"/>
        <v>-1.5013206060886852E-2</v>
      </c>
      <c r="K26" s="47">
        <f t="shared" si="7"/>
        <v>2.4321400009408745E-2</v>
      </c>
      <c r="L26" s="47">
        <f t="shared" si="7"/>
        <v>5.2356020942408321E-2</v>
      </c>
      <c r="M26" s="47">
        <f>IF(L25=0,"",M25/L25-1)</f>
        <v>-1</v>
      </c>
      <c r="N26" s="47" t="str">
        <f>IF(M25=0,"",N25/M25-1)</f>
        <v/>
      </c>
      <c r="O26" s="61"/>
      <c r="P26" s="20"/>
    </row>
    <row r="27" spans="2:16" x14ac:dyDescent="0.25">
      <c r="O27" s="62"/>
    </row>
    <row r="28" spans="2:16" x14ac:dyDescent="0.25">
      <c r="B28" s="51" t="s">
        <v>79</v>
      </c>
      <c r="C28" s="50"/>
      <c r="D28" s="50"/>
      <c r="E28" s="50"/>
      <c r="F28" s="50"/>
      <c r="J28" s="63" t="s">
        <v>81</v>
      </c>
      <c r="K28" s="63"/>
      <c r="L28" s="63"/>
      <c r="M28" s="63"/>
      <c r="N28" s="63"/>
    </row>
    <row r="29" spans="2:16" x14ac:dyDescent="0.25">
      <c r="B29" s="50"/>
      <c r="C29" s="50"/>
      <c r="D29" s="50"/>
      <c r="E29" s="50"/>
      <c r="F29" s="50"/>
      <c r="J29" s="63"/>
      <c r="K29" s="63"/>
      <c r="L29" s="63"/>
      <c r="M29" s="63"/>
      <c r="N29" s="63"/>
    </row>
  </sheetData>
  <mergeCells count="3">
    <mergeCell ref="B1:P2"/>
    <mergeCell ref="B28:F29"/>
    <mergeCell ref="J28:N29"/>
  </mergeCells>
  <conditionalFormatting sqref="D13:P13">
    <cfRule type="cellIs" dxfId="11" priority="10" operator="greaterThan">
      <formula>0</formula>
    </cfRule>
  </conditionalFormatting>
  <conditionalFormatting sqref="D13:O13">
    <cfRule type="cellIs" dxfId="10" priority="9" operator="lessThan">
      <formula>0</formula>
    </cfRule>
  </conditionalFormatting>
  <conditionalFormatting sqref="C23:O23">
    <cfRule type="cellIs" dxfId="9" priority="7" operator="lessThan">
      <formula>0</formula>
    </cfRule>
    <cfRule type="cellIs" dxfId="8" priority="8" operator="greaterThan">
      <formula>0</formula>
    </cfRule>
  </conditionalFormatting>
  <conditionalFormatting sqref="C26:O26"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P8:P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16:P21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Staff</cp:lastModifiedBy>
  <dcterms:created xsi:type="dcterms:W3CDTF">2025-10-10T11:56:26Z</dcterms:created>
  <dcterms:modified xsi:type="dcterms:W3CDTF">2025-10-11T10:03:17Z</dcterms:modified>
</cp:coreProperties>
</file>